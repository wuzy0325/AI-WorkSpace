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istrator\Desktop\D\svn\SoftWare\tag\WindLabX2\data\1604V2\"/>
    </mc:Choice>
  </mc:AlternateContent>
  <bookViews>
    <workbookView xWindow="-120" yWindow="-120" windowWidth="29040" windowHeight="16440"/>
  </bookViews>
  <sheets>
    <sheet name="校准结果" sheetId="16" r:id="rId1"/>
  </sheets>
  <definedNames>
    <definedName name="_xlnm.Print_Area" localSheetId="0">校准结果!$A$1:$D$275</definedName>
    <definedName name="_xlnm.Print_Titles" localSheetId="0">校准结果!$1:$4</definedName>
    <definedName name="单位">校准结果!$K$5</definedName>
    <definedName name="量程最大值">校准结果!$K$6</definedName>
    <definedName name="量程最小值">校准结果!$I$6</definedName>
    <definedName name="通道1">校准结果!$A$10</definedName>
    <definedName name="通道10">校准结果!$A$144</definedName>
    <definedName name="通道11">校准结果!$A$159</definedName>
    <definedName name="通道12">校准结果!$A$174</definedName>
    <definedName name="通道13">校准结果!$A$189</definedName>
    <definedName name="通道14">校准结果!$A$204</definedName>
    <definedName name="通道15">校准结果!$A$219</definedName>
    <definedName name="通道16">校准结果!$A$234</definedName>
    <definedName name="通道2">校准结果!$A$25</definedName>
    <definedName name="通道3">校准结果!$A$40</definedName>
    <definedName name="通道4">校准结果!$A$54</definedName>
    <definedName name="通道5">校准结果!$A$69</definedName>
    <definedName name="通道6">校准结果!$A$84</definedName>
    <definedName name="通道7">校准结果!$A$99</definedName>
    <definedName name="通道8">校准结果!$A$114</definedName>
    <definedName name="通道9">校准结果!$A$129</definedName>
    <definedName name="校准日期">校准结果!$I$5</definedName>
    <definedName name="准确度等级">校准结果!$G$6</definedName>
  </definedNames>
  <calcPr calcId="191029"/>
</workbook>
</file>

<file path=xl/calcChain.xml><?xml version="1.0" encoding="utf-8"?>
<calcChain xmlns="http://schemas.openxmlformats.org/spreadsheetml/2006/main">
  <c r="G244" i="16" l="1"/>
  <c r="F244" i="16"/>
  <c r="G243" i="16"/>
  <c r="F243" i="16"/>
  <c r="G242" i="16"/>
  <c r="F242" i="16"/>
  <c r="G241" i="16"/>
  <c r="F241" i="16"/>
  <c r="G240" i="16"/>
  <c r="F240" i="16"/>
  <c r="G239" i="16"/>
  <c r="F239" i="16"/>
  <c r="G238" i="16"/>
  <c r="F238" i="16"/>
  <c r="G237" i="16"/>
  <c r="F237" i="16"/>
  <c r="G236" i="16"/>
  <c r="F236" i="16"/>
  <c r="G235" i="16"/>
  <c r="F235" i="16"/>
  <c r="G234" i="16"/>
  <c r="H234" i="16" s="1"/>
  <c r="F234" i="16"/>
  <c r="F233" i="16"/>
  <c r="G231" i="16"/>
  <c r="G229" i="16"/>
  <c r="F229" i="16"/>
  <c r="G228" i="16"/>
  <c r="F228" i="16"/>
  <c r="G227" i="16"/>
  <c r="F227" i="16"/>
  <c r="G226" i="16"/>
  <c r="F226" i="16"/>
  <c r="G225" i="16"/>
  <c r="F225" i="16"/>
  <c r="G224" i="16"/>
  <c r="F224" i="16"/>
  <c r="G223" i="16"/>
  <c r="F223" i="16"/>
  <c r="G222" i="16"/>
  <c r="F222" i="16"/>
  <c r="G221" i="16"/>
  <c r="F221" i="16"/>
  <c r="G220" i="16"/>
  <c r="F220" i="16"/>
  <c r="G219" i="16"/>
  <c r="H219" i="16" s="1"/>
  <c r="F219" i="16"/>
  <c r="F218" i="16"/>
  <c r="G216" i="16"/>
  <c r="G214" i="16"/>
  <c r="F214" i="16"/>
  <c r="G213" i="16"/>
  <c r="F213" i="16"/>
  <c r="G212" i="16"/>
  <c r="F212" i="16"/>
  <c r="G211" i="16"/>
  <c r="F211" i="16"/>
  <c r="G210" i="16"/>
  <c r="F210" i="16"/>
  <c r="G209" i="16"/>
  <c r="F209" i="16"/>
  <c r="G208" i="16"/>
  <c r="F208" i="16"/>
  <c r="G207" i="16"/>
  <c r="F207" i="16"/>
  <c r="G206" i="16"/>
  <c r="F206" i="16"/>
  <c r="G205" i="16"/>
  <c r="F205" i="16"/>
  <c r="G204" i="16"/>
  <c r="H204" i="16" s="1"/>
  <c r="F204" i="16"/>
  <c r="F203" i="16"/>
  <c r="G201" i="16"/>
  <c r="G199" i="16"/>
  <c r="F199" i="16"/>
  <c r="G198" i="16"/>
  <c r="F198" i="16"/>
  <c r="G197" i="16"/>
  <c r="F197" i="16"/>
  <c r="G196" i="16"/>
  <c r="F196" i="16"/>
  <c r="G195" i="16"/>
  <c r="F195" i="16"/>
  <c r="G194" i="16"/>
  <c r="F194" i="16"/>
  <c r="G193" i="16"/>
  <c r="F193" i="16"/>
  <c r="G192" i="16"/>
  <c r="F192" i="16"/>
  <c r="G191" i="16"/>
  <c r="F191" i="16"/>
  <c r="G190" i="16"/>
  <c r="F190" i="16"/>
  <c r="G189" i="16"/>
  <c r="H189" i="16" s="1"/>
  <c r="F189" i="16"/>
  <c r="F188" i="16"/>
  <c r="G186" i="16"/>
  <c r="G184" i="16"/>
  <c r="F184" i="16"/>
  <c r="G183" i="16"/>
  <c r="F183" i="16"/>
  <c r="G182" i="16"/>
  <c r="F182" i="16"/>
  <c r="G181" i="16"/>
  <c r="F181" i="16"/>
  <c r="G180" i="16"/>
  <c r="F180" i="16"/>
  <c r="G179" i="16"/>
  <c r="F179" i="16"/>
  <c r="G178" i="16"/>
  <c r="F178" i="16"/>
  <c r="G177" i="16"/>
  <c r="F177" i="16"/>
  <c r="G176" i="16"/>
  <c r="F176" i="16"/>
  <c r="G175" i="16"/>
  <c r="F175" i="16"/>
  <c r="G174" i="16"/>
  <c r="H174" i="16" s="1"/>
  <c r="F174" i="16"/>
  <c r="F173" i="16"/>
  <c r="G171" i="16"/>
  <c r="G169" i="16"/>
  <c r="F169" i="16"/>
  <c r="G168" i="16"/>
  <c r="F168" i="16"/>
  <c r="G167" i="16"/>
  <c r="F167" i="16"/>
  <c r="G166" i="16"/>
  <c r="F166" i="16"/>
  <c r="G165" i="16"/>
  <c r="F165" i="16"/>
  <c r="G164" i="16"/>
  <c r="F164" i="16"/>
  <c r="G163" i="16"/>
  <c r="F163" i="16"/>
  <c r="G162" i="16"/>
  <c r="F162" i="16"/>
  <c r="G161" i="16"/>
  <c r="F161" i="16"/>
  <c r="G160" i="16"/>
  <c r="F160" i="16"/>
  <c r="G159" i="16"/>
  <c r="H159" i="16" s="1"/>
  <c r="F159" i="16"/>
  <c r="F158" i="16"/>
  <c r="G156" i="16"/>
  <c r="G154" i="16"/>
  <c r="F154" i="16"/>
  <c r="G153" i="16"/>
  <c r="F153" i="16"/>
  <c r="G152" i="16"/>
  <c r="F152" i="16"/>
  <c r="G151" i="16"/>
  <c r="F151" i="16"/>
  <c r="G150" i="16"/>
  <c r="F150" i="16"/>
  <c r="G149" i="16"/>
  <c r="F149" i="16"/>
  <c r="G148" i="16"/>
  <c r="F148" i="16"/>
  <c r="G147" i="16"/>
  <c r="F147" i="16"/>
  <c r="G146" i="16"/>
  <c r="F146" i="16"/>
  <c r="G145" i="16"/>
  <c r="F145" i="16"/>
  <c r="G144" i="16"/>
  <c r="H144" i="16" s="1"/>
  <c r="F144" i="16"/>
  <c r="F143" i="16"/>
  <c r="G141" i="16"/>
  <c r="G139" i="16"/>
  <c r="F139" i="16"/>
  <c r="G138" i="16"/>
  <c r="F138" i="16"/>
  <c r="G137" i="16"/>
  <c r="F137" i="16"/>
  <c r="G136" i="16"/>
  <c r="F136" i="16"/>
  <c r="G135" i="16"/>
  <c r="F135" i="16"/>
  <c r="G134" i="16"/>
  <c r="F134" i="16"/>
  <c r="G133" i="16"/>
  <c r="F133" i="16"/>
  <c r="G132" i="16"/>
  <c r="F132" i="16"/>
  <c r="G131" i="16"/>
  <c r="F131" i="16"/>
  <c r="G130" i="16"/>
  <c r="F130" i="16"/>
  <c r="G129" i="16"/>
  <c r="H129" i="16" s="1"/>
  <c r="F129" i="16"/>
  <c r="F128" i="16"/>
  <c r="G126" i="16"/>
  <c r="G124" i="16"/>
  <c r="F124" i="16"/>
  <c r="G123" i="16"/>
  <c r="F123" i="16"/>
  <c r="G122" i="16"/>
  <c r="F122" i="16"/>
  <c r="G121" i="16"/>
  <c r="F121" i="16"/>
  <c r="G120" i="16"/>
  <c r="F120" i="16"/>
  <c r="G119" i="16"/>
  <c r="F119" i="16"/>
  <c r="G118" i="16"/>
  <c r="F118" i="16"/>
  <c r="G117" i="16"/>
  <c r="F117" i="16"/>
  <c r="G116" i="16"/>
  <c r="F116" i="16"/>
  <c r="G115" i="16"/>
  <c r="F115" i="16"/>
  <c r="G114" i="16"/>
  <c r="H114" i="16" s="1"/>
  <c r="F114" i="16"/>
  <c r="F113" i="16"/>
  <c r="G111" i="16"/>
  <c r="G109" i="16"/>
  <c r="F109" i="16"/>
  <c r="G108" i="16"/>
  <c r="F108" i="16"/>
  <c r="G107" i="16"/>
  <c r="F107" i="16"/>
  <c r="G106" i="16"/>
  <c r="F106" i="16"/>
  <c r="G105" i="16"/>
  <c r="F105" i="16"/>
  <c r="G104" i="16"/>
  <c r="F104" i="16"/>
  <c r="G103" i="16"/>
  <c r="F103" i="16"/>
  <c r="G102" i="16"/>
  <c r="F102" i="16"/>
  <c r="G101" i="16"/>
  <c r="H99" i="16" s="1"/>
  <c r="F101" i="16"/>
  <c r="G100" i="16"/>
  <c r="F100" i="16"/>
  <c r="G99" i="16"/>
  <c r="F99" i="16"/>
  <c r="F98" i="16"/>
  <c r="G96" i="16"/>
  <c r="G94" i="16"/>
  <c r="F94" i="16"/>
  <c r="G93" i="16"/>
  <c r="F93" i="16"/>
  <c r="G92" i="16"/>
  <c r="F92" i="16"/>
  <c r="G91" i="16"/>
  <c r="F91" i="16"/>
  <c r="G90" i="16"/>
  <c r="F90" i="16"/>
  <c r="G89" i="16"/>
  <c r="F89" i="16"/>
  <c r="G88" i="16"/>
  <c r="F88" i="16"/>
  <c r="G87" i="16"/>
  <c r="F87" i="16"/>
  <c r="G86" i="16"/>
  <c r="F86" i="16"/>
  <c r="G85" i="16"/>
  <c r="F85" i="16"/>
  <c r="G84" i="16"/>
  <c r="H84" i="16" s="1"/>
  <c r="F84" i="16"/>
  <c r="F83" i="16"/>
  <c r="G81" i="16"/>
  <c r="G79" i="16"/>
  <c r="F79" i="16"/>
  <c r="G78" i="16"/>
  <c r="F78" i="16"/>
  <c r="G77" i="16"/>
  <c r="F77" i="16"/>
  <c r="G76" i="16"/>
  <c r="F76" i="16"/>
  <c r="G75" i="16"/>
  <c r="F75" i="16"/>
  <c r="G74" i="16"/>
  <c r="F74" i="16"/>
  <c r="G73" i="16"/>
  <c r="F73" i="16"/>
  <c r="G72" i="16"/>
  <c r="F72" i="16"/>
  <c r="G71" i="16"/>
  <c r="F71" i="16"/>
  <c r="G70" i="16"/>
  <c r="F70" i="16"/>
  <c r="G69" i="16"/>
  <c r="H69" i="16" s="1"/>
  <c r="F69" i="16"/>
  <c r="F68" i="16"/>
  <c r="G66" i="16"/>
  <c r="G64" i="16"/>
  <c r="F64" i="16"/>
  <c r="G63" i="16"/>
  <c r="F63" i="16"/>
  <c r="G62" i="16"/>
  <c r="F62" i="16"/>
  <c r="G61" i="16"/>
  <c r="F61" i="16"/>
  <c r="G60" i="16"/>
  <c r="F60" i="16"/>
  <c r="G59" i="16"/>
  <c r="F59" i="16"/>
  <c r="G58" i="16"/>
  <c r="F58" i="16"/>
  <c r="G57" i="16"/>
  <c r="F57" i="16"/>
  <c r="G56" i="16"/>
  <c r="F56" i="16"/>
  <c r="G55" i="16"/>
  <c r="H54" i="16" s="1"/>
  <c r="F55" i="16"/>
  <c r="G54" i="16"/>
  <c r="F54" i="16"/>
  <c r="F53" i="16"/>
  <c r="G51" i="16"/>
  <c r="G50" i="16"/>
  <c r="F50" i="16"/>
  <c r="G49" i="16"/>
  <c r="F49" i="16"/>
  <c r="G48" i="16"/>
  <c r="F48" i="16"/>
  <c r="G47" i="16"/>
  <c r="F47" i="16"/>
  <c r="G46" i="16"/>
  <c r="F46" i="16"/>
  <c r="G45" i="16"/>
  <c r="F45" i="16"/>
  <c r="G44" i="16"/>
  <c r="F44" i="16"/>
  <c r="G43" i="16"/>
  <c r="F43" i="16"/>
  <c r="G42" i="16"/>
  <c r="F42" i="16"/>
  <c r="G41" i="16"/>
  <c r="F41" i="16"/>
  <c r="G40" i="16"/>
  <c r="H40" i="16" s="1"/>
  <c r="F40" i="16"/>
  <c r="F39" i="16"/>
  <c r="G37" i="16"/>
  <c r="G35" i="16"/>
  <c r="F35" i="16"/>
  <c r="G34" i="16"/>
  <c r="F34" i="16"/>
  <c r="G33" i="16"/>
  <c r="F33" i="16"/>
  <c r="G32" i="16"/>
  <c r="F32" i="16"/>
  <c r="G31" i="16"/>
  <c r="F31" i="16"/>
  <c r="G30" i="16"/>
  <c r="F30" i="16"/>
  <c r="G29" i="16"/>
  <c r="F29" i="16"/>
  <c r="G28" i="16"/>
  <c r="F28" i="16"/>
  <c r="G27" i="16"/>
  <c r="F27" i="16"/>
  <c r="G26" i="16"/>
  <c r="F26" i="16"/>
  <c r="G25" i="16"/>
  <c r="H25" i="16" s="1"/>
  <c r="F25" i="16"/>
  <c r="F24" i="16"/>
  <c r="G22" i="16"/>
  <c r="C244" i="16"/>
  <c r="C243" i="16"/>
  <c r="C242" i="16"/>
  <c r="C241" i="16"/>
  <c r="C240" i="16"/>
  <c r="C239" i="16"/>
  <c r="C238" i="16"/>
  <c r="C237" i="16"/>
  <c r="C236" i="16"/>
  <c r="C235" i="16"/>
  <c r="C234" i="16"/>
  <c r="D231" i="16"/>
  <c r="C229" i="16"/>
  <c r="C228" i="16"/>
  <c r="C227" i="16"/>
  <c r="C226" i="16"/>
  <c r="C225" i="16"/>
  <c r="C224" i="16"/>
  <c r="C223" i="16"/>
  <c r="C222" i="16"/>
  <c r="C221" i="16"/>
  <c r="C220" i="16"/>
  <c r="C219" i="16"/>
  <c r="D216" i="16"/>
  <c r="C214" i="16"/>
  <c r="C213" i="16"/>
  <c r="C212" i="16"/>
  <c r="C211" i="16"/>
  <c r="C210" i="16"/>
  <c r="C209" i="16"/>
  <c r="C208" i="16"/>
  <c r="C207" i="16"/>
  <c r="C206" i="16"/>
  <c r="C205" i="16"/>
  <c r="C204" i="16"/>
  <c r="D201" i="16"/>
  <c r="C199" i="16"/>
  <c r="C198" i="16"/>
  <c r="C197" i="16"/>
  <c r="C196" i="16"/>
  <c r="C195" i="16"/>
  <c r="C194" i="16"/>
  <c r="C193" i="16"/>
  <c r="C192" i="16"/>
  <c r="C191" i="16"/>
  <c r="C190" i="16"/>
  <c r="C189" i="16"/>
  <c r="D186" i="16"/>
  <c r="C184" i="16"/>
  <c r="C183" i="16"/>
  <c r="C182" i="16"/>
  <c r="C181" i="16"/>
  <c r="C180" i="16"/>
  <c r="C179" i="16"/>
  <c r="C178" i="16"/>
  <c r="C177" i="16"/>
  <c r="C176" i="16"/>
  <c r="C175" i="16"/>
  <c r="C174" i="16"/>
  <c r="D171" i="16"/>
  <c r="C169" i="16"/>
  <c r="C168" i="16"/>
  <c r="C167" i="16"/>
  <c r="C166" i="16"/>
  <c r="C165" i="16"/>
  <c r="C164" i="16"/>
  <c r="C163" i="16"/>
  <c r="C162" i="16"/>
  <c r="C161" i="16"/>
  <c r="C160" i="16"/>
  <c r="C159" i="16"/>
  <c r="D156" i="16"/>
  <c r="C154" i="16"/>
  <c r="C153" i="16"/>
  <c r="C152" i="16"/>
  <c r="C151" i="16"/>
  <c r="C150" i="16"/>
  <c r="C149" i="16"/>
  <c r="C148" i="16"/>
  <c r="C147" i="16"/>
  <c r="C146" i="16"/>
  <c r="C145" i="16"/>
  <c r="C144" i="16"/>
  <c r="D141" i="16"/>
  <c r="C139" i="16"/>
  <c r="C138" i="16"/>
  <c r="C137" i="16"/>
  <c r="C136" i="16"/>
  <c r="C135" i="16"/>
  <c r="C134" i="16"/>
  <c r="C133" i="16"/>
  <c r="C132" i="16"/>
  <c r="C131" i="16"/>
  <c r="C130" i="16"/>
  <c r="C129" i="16"/>
  <c r="D126" i="16"/>
  <c r="C124" i="16"/>
  <c r="C123" i="16"/>
  <c r="C122" i="16"/>
  <c r="C121" i="16"/>
  <c r="C120" i="16"/>
  <c r="C119" i="16"/>
  <c r="C118" i="16"/>
  <c r="C117" i="16"/>
  <c r="C116" i="16"/>
  <c r="C115" i="16"/>
  <c r="C114" i="16"/>
  <c r="D111" i="16"/>
  <c r="C109" i="16"/>
  <c r="C108" i="16"/>
  <c r="C107" i="16"/>
  <c r="C106" i="16"/>
  <c r="C105" i="16"/>
  <c r="C104" i="16"/>
  <c r="C103" i="16"/>
  <c r="C102" i="16"/>
  <c r="C101" i="16"/>
  <c r="C100" i="16"/>
  <c r="C99" i="16"/>
  <c r="D96" i="16"/>
  <c r="C94" i="16"/>
  <c r="C93" i="16"/>
  <c r="C92" i="16"/>
  <c r="C91" i="16"/>
  <c r="C90" i="16"/>
  <c r="C89" i="16"/>
  <c r="C88" i="16"/>
  <c r="C87" i="16"/>
  <c r="C86" i="16"/>
  <c r="C85" i="16"/>
  <c r="C84" i="16"/>
  <c r="D81" i="16"/>
  <c r="C79" i="16"/>
  <c r="C78" i="16"/>
  <c r="C77" i="16"/>
  <c r="C76" i="16"/>
  <c r="C75" i="16"/>
  <c r="C74" i="16"/>
  <c r="C73" i="16"/>
  <c r="C72" i="16"/>
  <c r="C71" i="16"/>
  <c r="C70" i="16"/>
  <c r="C69" i="16"/>
  <c r="D66" i="16"/>
  <c r="C64" i="16"/>
  <c r="C63" i="16"/>
  <c r="C62" i="16"/>
  <c r="C61" i="16"/>
  <c r="C60" i="16"/>
  <c r="C59" i="16"/>
  <c r="C58" i="16"/>
  <c r="C57" i="16"/>
  <c r="C56" i="16"/>
  <c r="C55" i="16"/>
  <c r="C54" i="16"/>
  <c r="D51" i="16"/>
  <c r="C50" i="16"/>
  <c r="C49" i="16"/>
  <c r="C48" i="16"/>
  <c r="C47" i="16"/>
  <c r="C46" i="16"/>
  <c r="C45" i="16"/>
  <c r="C44" i="16"/>
  <c r="C43" i="16"/>
  <c r="C42" i="16"/>
  <c r="C41" i="16"/>
  <c r="C40" i="16"/>
  <c r="D37" i="16"/>
  <c r="C35" i="16"/>
  <c r="C34" i="16"/>
  <c r="C33" i="16"/>
  <c r="C32" i="16"/>
  <c r="C31" i="16"/>
  <c r="C30" i="16"/>
  <c r="C29" i="16"/>
  <c r="C28" i="16"/>
  <c r="C27" i="16"/>
  <c r="C26" i="16"/>
  <c r="C25" i="16"/>
  <c r="D22" i="16"/>
  <c r="D7" i="16"/>
  <c r="C11" i="16"/>
  <c r="C12" i="16"/>
  <c r="C13" i="16"/>
  <c r="C14" i="16"/>
  <c r="C15" i="16"/>
  <c r="C16" i="16"/>
  <c r="C17" i="16"/>
  <c r="C18" i="16"/>
  <c r="C19" i="16"/>
  <c r="C20" i="16"/>
  <c r="C10" i="16"/>
  <c r="F11" i="16" l="1"/>
  <c r="F12" i="16"/>
  <c r="F13" i="16"/>
  <c r="F14" i="16"/>
  <c r="F15" i="16"/>
  <c r="F16" i="16"/>
  <c r="F17" i="16"/>
  <c r="F18" i="16"/>
  <c r="F19" i="16"/>
  <c r="F20" i="16"/>
  <c r="G11" i="16"/>
  <c r="G12" i="16"/>
  <c r="G13" i="16"/>
  <c r="G14" i="16"/>
  <c r="G15" i="16"/>
  <c r="G16" i="16"/>
  <c r="G17" i="16"/>
  <c r="G18" i="16"/>
  <c r="G19" i="16"/>
  <c r="G20" i="16"/>
  <c r="F9" i="16"/>
  <c r="F10" i="16" l="1"/>
  <c r="G7" i="16"/>
  <c r="G10" i="16" l="1"/>
  <c r="H10" i="16" l="1"/>
</calcChain>
</file>

<file path=xl/sharedStrings.xml><?xml version="1.0" encoding="utf-8"?>
<sst xmlns="http://schemas.openxmlformats.org/spreadsheetml/2006/main" count="206" uniqueCount="39">
  <si>
    <t>Blank Below</t>
  </si>
  <si>
    <t>CH1</t>
    <phoneticPr fontId="7" type="noConversion"/>
  </si>
  <si>
    <t>CH2</t>
    <phoneticPr fontId="7" type="noConversion"/>
  </si>
  <si>
    <t>CH3</t>
    <phoneticPr fontId="7" type="noConversion"/>
  </si>
  <si>
    <t>CH4</t>
    <phoneticPr fontId="7" type="noConversion"/>
  </si>
  <si>
    <t>CH5</t>
    <phoneticPr fontId="7" type="noConversion"/>
  </si>
  <si>
    <t>CH6</t>
    <phoneticPr fontId="7" type="noConversion"/>
  </si>
  <si>
    <t>CH7</t>
    <phoneticPr fontId="7" type="noConversion"/>
  </si>
  <si>
    <t>CH8</t>
    <phoneticPr fontId="7" type="noConversion"/>
  </si>
  <si>
    <t>CH9</t>
    <phoneticPr fontId="7" type="noConversion"/>
  </si>
  <si>
    <t>CH10</t>
    <phoneticPr fontId="7" type="noConversion"/>
  </si>
  <si>
    <t>CH11</t>
    <phoneticPr fontId="7" type="noConversion"/>
  </si>
  <si>
    <t>CH12</t>
    <phoneticPr fontId="7" type="noConversion"/>
  </si>
  <si>
    <t>CH13</t>
    <phoneticPr fontId="7" type="noConversion"/>
  </si>
  <si>
    <t>CH14</t>
    <phoneticPr fontId="7" type="noConversion"/>
  </si>
  <si>
    <t>CH15</t>
    <phoneticPr fontId="7" type="noConversion"/>
  </si>
  <si>
    <t>CH16</t>
    <phoneticPr fontId="7" type="noConversion"/>
  </si>
  <si>
    <t>max</t>
    <phoneticPr fontId="7" type="noConversion"/>
  </si>
  <si>
    <t>psi</t>
    <phoneticPr fontId="7" type="noConversion"/>
  </si>
  <si>
    <t>Results analysis</t>
    <phoneticPr fontId="7" type="noConversion"/>
  </si>
  <si>
    <t>Accuracy：</t>
    <phoneticPr fontId="7" type="noConversion"/>
  </si>
  <si>
    <t>Max(Range)：</t>
    <phoneticPr fontId="7" type="noConversion"/>
  </si>
  <si>
    <t>Unit：</t>
    <phoneticPr fontId="7" type="noConversion"/>
  </si>
  <si>
    <t>Example</t>
    <phoneticPr fontId="7" type="noConversion"/>
  </si>
  <si>
    <t>Unqualified</t>
    <phoneticPr fontId="7" type="noConversion"/>
  </si>
  <si>
    <t>Qualified</t>
    <phoneticPr fontId="7" type="noConversion"/>
  </si>
  <si>
    <t>Standard pressure</t>
    <phoneticPr fontId="7" type="noConversion"/>
  </si>
  <si>
    <r>
      <t>Min(Range)</t>
    </r>
    <r>
      <rPr>
        <b/>
        <sz val="11"/>
        <color theme="1"/>
        <rFont val="黑体"/>
        <family val="3"/>
        <charset val="134"/>
      </rPr>
      <t>：</t>
    </r>
    <phoneticPr fontId="7" type="noConversion"/>
  </si>
  <si>
    <r>
      <t>Equipment No.</t>
    </r>
    <r>
      <rPr>
        <b/>
        <sz val="11"/>
        <color theme="1"/>
        <rFont val="Yu Gothic"/>
        <family val="2"/>
        <charset val="128"/>
      </rPr>
      <t>：</t>
    </r>
    <phoneticPr fontId="7" type="noConversion"/>
  </si>
  <si>
    <r>
      <t>Cal Date</t>
    </r>
    <r>
      <rPr>
        <b/>
        <sz val="11"/>
        <color theme="1"/>
        <rFont val="Yu Gothic"/>
        <family val="2"/>
        <charset val="128"/>
      </rPr>
      <t>：</t>
    </r>
    <phoneticPr fontId="7" type="noConversion"/>
  </si>
  <si>
    <t>Pressure value of the device under test</t>
    <phoneticPr fontId="7" type="noConversion"/>
  </si>
  <si>
    <r>
      <rPr>
        <i/>
        <sz val="10"/>
        <color theme="1"/>
        <rFont val="Times New Roman"/>
        <family val="1"/>
      </rPr>
      <t>U</t>
    </r>
    <r>
      <rPr>
        <sz val="10"/>
        <color theme="1"/>
        <rFont val="宋体"/>
        <family val="3"/>
        <charset val="134"/>
      </rPr>
      <t>（</t>
    </r>
    <r>
      <rPr>
        <sz val="10"/>
        <color theme="1"/>
        <rFont val="Times New Roman"/>
        <family val="1"/>
      </rPr>
      <t>%FS</t>
    </r>
    <r>
      <rPr>
        <sz val="10"/>
        <color theme="1"/>
        <rFont val="宋体"/>
        <family val="3"/>
        <charset val="134"/>
      </rPr>
      <t>）
（</t>
    </r>
    <r>
      <rPr>
        <i/>
        <sz val="10"/>
        <color theme="1"/>
        <rFont val="Times New Roman"/>
        <family val="1"/>
      </rPr>
      <t>k</t>
    </r>
    <r>
      <rPr>
        <sz val="10"/>
        <color theme="1"/>
        <rFont val="Times New Roman"/>
        <family val="1"/>
      </rPr>
      <t>=2</t>
    </r>
    <r>
      <rPr>
        <sz val="10"/>
        <color theme="1"/>
        <rFont val="宋体"/>
        <family val="3"/>
        <charset val="134"/>
      </rPr>
      <t>）</t>
    </r>
    <phoneticPr fontId="7" type="noConversion"/>
  </si>
  <si>
    <t>Channel Number:</t>
    <phoneticPr fontId="7" type="noConversion"/>
  </si>
  <si>
    <t>Indication Error</t>
    <phoneticPr fontId="7" type="noConversion"/>
  </si>
  <si>
    <t>Results of Calibration</t>
    <phoneticPr fontId="7" type="noConversion"/>
  </si>
  <si>
    <t>Certificate No.:</t>
    <phoneticPr fontId="7" type="noConversion"/>
  </si>
  <si>
    <r>
      <rPr>
        <b/>
        <sz val="10"/>
        <color theme="1"/>
        <rFont val="Yu Gothic"/>
        <family val="2"/>
        <charset val="128"/>
      </rPr>
      <t>丨</t>
    </r>
    <r>
      <rPr>
        <b/>
        <sz val="10"/>
        <color theme="1"/>
        <rFont val="Times New Roman"/>
        <family val="1"/>
      </rPr>
      <t>Indication error</t>
    </r>
    <r>
      <rPr>
        <b/>
        <sz val="10"/>
        <color theme="1"/>
        <rFont val="Yu Gothic"/>
        <family val="2"/>
        <charset val="128"/>
      </rPr>
      <t xml:space="preserve">丨
</t>
    </r>
    <r>
      <rPr>
        <b/>
        <sz val="10"/>
        <color theme="1"/>
        <rFont val="Times New Roman"/>
        <family val="1"/>
      </rPr>
      <t>/Full Scale</t>
    </r>
    <phoneticPr fontId="7" type="noConversion"/>
  </si>
  <si>
    <t>Notes</t>
    <phoneticPr fontId="7" type="noConversion"/>
  </si>
  <si>
    <r>
      <t>Unit</t>
    </r>
    <r>
      <rPr>
        <b/>
        <sz val="11"/>
        <color theme="1"/>
        <rFont val="宋体"/>
        <family val="2"/>
        <charset val="134"/>
      </rPr>
      <t>:</t>
    </r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</si>
</sst>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76" formatCode="0.000_ "/>
    <numFmt numFmtId="177" formatCode="0.000%"/>
    <numFmt numFmtId="178" formatCode="0.0000"/>
  </numFmts>
  <fonts count="23" x14ac:knownFonts="1">
    <font>
      <sz val="11"/>
      <color theme="1"/>
      <name val="宋体"/>
      <charset val="134"/>
      <scheme val="minor"/>
    </font>
    <font>
      <sz val="11"/>
      <color theme="1"/>
      <name val="宋体"/>
      <family val="2"/>
      <scheme val="minor"/>
    </font>
    <font>
      <sz val="11"/>
      <color theme="1"/>
      <name val="宋体"/>
      <family val="2"/>
      <scheme val="minor"/>
    </font>
    <font>
      <sz val="12"/>
      <color theme="1"/>
      <name val="宋体"/>
      <family val="3"/>
      <charset val="134"/>
    </font>
    <font>
      <sz val="10"/>
      <color theme="1"/>
      <name val="Times New Roman"/>
      <family val="1"/>
    </font>
    <font>
      <sz val="20"/>
      <color theme="1"/>
      <name val="黑体"/>
      <family val="3"/>
      <charset val="134"/>
    </font>
    <font>
      <sz val="11"/>
      <color theme="1"/>
      <name val="Times New Roman"/>
      <family val="1"/>
    </font>
    <font>
      <sz val="9"/>
      <name val="宋体"/>
      <family val="3"/>
      <charset val="134"/>
      <scheme val="minor"/>
    </font>
    <font>
      <sz val="11"/>
      <color theme="1"/>
      <name val="宋体"/>
      <family val="2"/>
      <scheme val="minor"/>
    </font>
    <font>
      <sz val="11"/>
      <color theme="1"/>
      <name val="宋体"/>
      <family val="3"/>
      <charset val="134"/>
      <scheme val="minor"/>
    </font>
    <font>
      <sz val="11"/>
      <color theme="1"/>
      <name val="宋体"/>
      <family val="1"/>
      <charset val="134"/>
    </font>
    <font>
      <b/>
      <sz val="11"/>
      <color theme="1"/>
      <name val="Times New Roman"/>
      <family val="1"/>
    </font>
    <font>
      <sz val="20"/>
      <color theme="1"/>
      <name val="Times New Roman"/>
      <family val="1"/>
    </font>
    <font>
      <sz val="11"/>
      <color theme="1"/>
      <name val="宋体"/>
      <family val="3"/>
      <charset val="134"/>
      <scheme val="minor"/>
    </font>
    <font>
      <b/>
      <sz val="11"/>
      <color theme="1"/>
      <name val="宋体"/>
      <family val="1"/>
      <charset val="134"/>
    </font>
    <font>
      <b/>
      <sz val="11"/>
      <color theme="1"/>
      <name val="黑体"/>
      <family val="3"/>
      <charset val="134"/>
    </font>
    <font>
      <b/>
      <sz val="11"/>
      <color theme="1"/>
      <name val="Yu Gothic"/>
      <family val="2"/>
      <charset val="128"/>
    </font>
    <font>
      <b/>
      <sz val="10"/>
      <color theme="1"/>
      <name val="Times New Roman"/>
      <family val="1"/>
    </font>
    <font>
      <b/>
      <sz val="10"/>
      <color theme="1"/>
      <name val="Yu Gothic"/>
      <family val="2"/>
      <charset val="128"/>
    </font>
    <font>
      <i/>
      <sz val="10"/>
      <color theme="1"/>
      <name val="Times New Roman"/>
      <family val="1"/>
    </font>
    <font>
      <sz val="10"/>
      <color theme="1"/>
      <name val="宋体"/>
      <family val="3"/>
      <charset val="134"/>
    </font>
    <font>
      <b/>
      <sz val="10"/>
      <color theme="1"/>
      <name val="Times New Roman"/>
      <family val="2"/>
      <charset val="128"/>
    </font>
    <font>
      <b/>
      <sz val="11"/>
      <color theme="1"/>
      <name val="宋体"/>
      <family val="2"/>
      <charset val="13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</borders>
  <cellStyleXfs count="6">
    <xf numFmtId="0" fontId="0" fillId="0" borderId="0">
      <alignment vertical="center"/>
    </xf>
    <xf numFmtId="0" fontId="8" fillId="0" borderId="0"/>
    <xf numFmtId="0" fontId="9" fillId="0" borderId="0">
      <alignment vertical="center"/>
    </xf>
    <xf numFmtId="0" fontId="2" fillId="0" borderId="0"/>
    <xf numFmtId="0" fontId="1" fillId="0" borderId="0"/>
    <xf numFmtId="9" fontId="13" fillId="0" borderId="0" applyFont="0" applyFill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6" fillId="0" borderId="0" xfId="2" applyFont="1">
      <alignment vertical="center"/>
    </xf>
    <xf numFmtId="0" fontId="4" fillId="0" borderId="0" xfId="2" applyFont="1" applyAlignment="1">
      <alignment horizontal="center" vertical="center"/>
    </xf>
    <xf numFmtId="0" fontId="6" fillId="0" borderId="0" xfId="2" applyFont="1" applyProtection="1">
      <alignment vertical="center"/>
      <protection locked="0"/>
    </xf>
    <xf numFmtId="0" fontId="4" fillId="0" borderId="0" xfId="2" applyFont="1" applyAlignment="1" applyProtection="1">
      <alignment horizontal="center" vertical="center"/>
      <protection locked="0"/>
    </xf>
    <xf numFmtId="176" fontId="6" fillId="2" borderId="1" xfId="2" applyNumberFormat="1" applyFont="1" applyFill="1" applyBorder="1" applyAlignment="1" applyProtection="1">
      <alignment horizontal="center" vertical="center" wrapText="1"/>
      <protection locked="0"/>
    </xf>
    <xf numFmtId="0" fontId="6" fillId="0" borderId="0" xfId="2" applyFont="1" applyAlignment="1" applyProtection="1">
      <alignment horizontal="center" vertical="center" wrapText="1"/>
      <protection locked="0"/>
    </xf>
    <xf numFmtId="177" fontId="6" fillId="0" borderId="1" xfId="5" applyNumberFormat="1" applyFont="1" applyBorder="1" applyAlignment="1" applyProtection="1">
      <alignment horizontal="center" vertical="center"/>
      <protection locked="0"/>
    </xf>
    <xf numFmtId="0" fontId="5" fillId="0" borderId="0" xfId="2" applyFont="1" applyAlignment="1">
      <alignment horizontal="center" vertical="center"/>
    </xf>
    <xf numFmtId="0" fontId="10" fillId="0" borderId="1" xfId="2" applyFont="1" applyBorder="1" applyAlignment="1" applyProtection="1">
      <alignment horizontal="center" vertical="center"/>
      <protection locked="0"/>
    </xf>
    <xf numFmtId="0" fontId="6" fillId="0" borderId="1" xfId="2" applyFont="1" applyBorder="1" applyAlignment="1" applyProtection="1">
      <alignment horizontal="center" vertical="center"/>
      <protection locked="0"/>
    </xf>
    <xf numFmtId="31" fontId="10" fillId="0" borderId="1" xfId="2" applyNumberFormat="1" applyFont="1" applyBorder="1" applyAlignment="1">
      <alignment horizontal="center" vertical="center"/>
    </xf>
    <xf numFmtId="0" fontId="6" fillId="0" borderId="1" xfId="2" applyFont="1" applyBorder="1" applyAlignment="1">
      <alignment horizontal="center" vertical="center"/>
    </xf>
    <xf numFmtId="178" fontId="4" fillId="0" borderId="1" xfId="0" applyNumberFormat="1" applyFont="1" applyBorder="1" applyAlignment="1">
      <alignment horizontal="center" vertical="center"/>
    </xf>
    <xf numFmtId="178" fontId="6" fillId="0" borderId="1" xfId="2" applyNumberFormat="1" applyFont="1" applyBorder="1" applyAlignment="1" applyProtection="1">
      <alignment horizontal="center" vertical="center" wrapText="1"/>
      <protection locked="0"/>
    </xf>
    <xf numFmtId="178" fontId="6" fillId="0" borderId="1" xfId="2" applyNumberFormat="1" applyFont="1" applyBorder="1" applyAlignment="1" applyProtection="1">
      <alignment horizontal="center" vertical="center"/>
      <protection locked="0"/>
    </xf>
    <xf numFmtId="0" fontId="11" fillId="0" borderId="0" xfId="2" applyFont="1" applyAlignment="1" applyProtection="1">
      <alignment vertical="center" wrapText="1"/>
      <protection locked="0"/>
    </xf>
    <xf numFmtId="0" fontId="17" fillId="0" borderId="0" xfId="2" applyFont="1" applyAlignment="1" applyProtection="1">
      <alignment horizontal="center" vertical="center" wrapText="1"/>
      <protection locked="0"/>
    </xf>
    <xf numFmtId="0" fontId="17" fillId="0" borderId="1" xfId="2" applyFont="1" applyBorder="1" applyAlignment="1" applyProtection="1">
      <alignment horizontal="center" vertical="center" wrapText="1"/>
      <protection locked="0"/>
    </xf>
    <xf numFmtId="0" fontId="3" fillId="0" borderId="0" xfId="2" applyFont="1" applyAlignment="1">
      <alignment horizontal="center" vertical="center"/>
    </xf>
    <xf numFmtId="0" fontId="14" fillId="0" borderId="0" xfId="2" applyFont="1" applyAlignment="1" applyProtection="1">
      <alignment horizontal="center" vertical="center" wrapText="1"/>
      <protection locked="0"/>
    </xf>
    <xf numFmtId="0" fontId="6" fillId="0" borderId="0" xfId="0" applyFont="1">
      <alignment vertical="center"/>
    </xf>
    <xf numFmtId="0" fontId="11" fillId="0" borderId="0" xfId="2" applyFont="1" applyAlignment="1" applyProtection="1">
      <alignment horizontal="right" vertical="center" wrapText="1"/>
      <protection locked="0"/>
    </xf>
    <xf numFmtId="0" fontId="6" fillId="0" borderId="0" xfId="2" applyFont="1" applyAlignment="1" applyProtection="1">
      <alignment horizontal="left" vertical="center" wrapText="1"/>
      <protection locked="0"/>
    </xf>
    <xf numFmtId="0" fontId="6" fillId="0" borderId="1" xfId="2" applyFont="1" applyBorder="1" applyAlignment="1" applyProtection="1">
      <alignment horizontal="center" vertical="center"/>
      <protection locked="0"/>
    </xf>
    <xf numFmtId="0" fontId="17" fillId="0" borderId="1" xfId="2" applyFont="1" applyBorder="1" applyAlignment="1" applyProtection="1">
      <alignment horizontal="center" vertical="center" wrapText="1"/>
      <protection locked="0"/>
    </xf>
    <xf numFmtId="0" fontId="6" fillId="0" borderId="0" xfId="0" applyFont="1" applyAlignment="1">
      <alignment horizontal="center" vertical="center"/>
    </xf>
    <xf numFmtId="0" fontId="21" fillId="0" borderId="1" xfId="2" applyFont="1" applyBorder="1" applyAlignment="1" applyProtection="1">
      <alignment horizontal="center" vertical="center" wrapText="1"/>
      <protection locked="0"/>
    </xf>
    <xf numFmtId="177" fontId="6" fillId="0" borderId="1" xfId="5" applyNumberFormat="1" applyFont="1" applyBorder="1" applyAlignment="1" applyProtection="1">
      <alignment horizontal="center" vertical="center"/>
      <protection locked="0"/>
    </xf>
    <xf numFmtId="0" fontId="17" fillId="0" borderId="2" xfId="2" applyFont="1" applyBorder="1" applyAlignment="1" applyProtection="1">
      <alignment horizontal="center" vertical="center" wrapText="1"/>
      <protection locked="0"/>
    </xf>
    <xf numFmtId="0" fontId="17" fillId="0" borderId="3" xfId="2" applyFont="1" applyBorder="1" applyAlignment="1" applyProtection="1">
      <alignment horizontal="center" vertical="center" wrapText="1"/>
      <protection locked="0"/>
    </xf>
    <xf numFmtId="0" fontId="4" fillId="0" borderId="1" xfId="2" applyFont="1" applyBorder="1" applyAlignment="1" applyProtection="1">
      <alignment horizontal="center" vertical="center" wrapText="1"/>
      <protection locked="0"/>
    </xf>
    <xf numFmtId="0" fontId="6" fillId="0" borderId="4" xfId="2" applyFont="1" applyBorder="1" applyAlignment="1">
      <alignment horizontal="center" vertical="center"/>
    </xf>
    <xf numFmtId="0" fontId="5" fillId="0" borderId="0" xfId="2" applyFont="1" applyAlignment="1">
      <alignment horizontal="center" vertical="center"/>
    </xf>
    <xf numFmtId="0" fontId="6" fillId="0" borderId="0" xfId="2" applyFont="1" applyAlignment="1">
      <alignment horizontal="center" vertical="center"/>
    </xf>
    <xf numFmtId="0" fontId="12" fillId="0" borderId="0" xfId="2" applyFont="1" applyAlignment="1">
      <alignment horizontal="center" vertical="center"/>
    </xf>
    <xf numFmtId="0" fontId="4" fillId="0" borderId="0" xfId="2" applyFont="1" applyAlignment="1">
      <alignment horizontal="center" vertical="center"/>
    </xf>
  </cellXfs>
  <cellStyles count="6">
    <cellStyle name="百分比" xfId="5" builtinId="5"/>
    <cellStyle name="常规" xfId="0" builtinId="0"/>
    <cellStyle name="常规 2" xfId="1"/>
    <cellStyle name="常规 3" xfId="2"/>
    <cellStyle name="常规 4" xfId="3"/>
    <cellStyle name="常规 5" xfId="4"/>
  </cellStyles>
  <dxfs count="66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49"/>
  <sheetViews>
    <sheetView tabSelected="1" workbookViewId="0">
      <selection activeCell="A10" sqref="A10"/>
    </sheetView>
  </sheetViews>
  <sheetFormatPr defaultColWidth="9" defaultRowHeight="15" x14ac:dyDescent="0.15"/>
  <cols>
    <col min="1" max="1" width="18.625" style="1" customWidth="1"/>
    <col min="2" max="2" width="30.625" style="1" customWidth="1"/>
    <col min="3" max="4" width="18.625" style="1" customWidth="1"/>
    <col min="5" max="5" width="3.75" style="1" customWidth="1"/>
    <col min="6" max="6" width="16.125" style="1" customWidth="1"/>
    <col min="7" max="7" width="15.5" style="1" customWidth="1"/>
    <col min="8" max="8" width="12.25" style="1" customWidth="1"/>
    <col min="9" max="9" width="16.375" style="1" customWidth="1"/>
    <col min="10" max="10" width="13.625" style="1" customWidth="1"/>
    <col min="11" max="11" width="10.5" style="1" customWidth="1"/>
    <col min="12" max="12" width="7.625" style="1" customWidth="1"/>
    <col min="13" max="16384" width="9" style="1"/>
  </cols>
  <sheetData>
    <row r="1" spans="1:12" ht="16.5" customHeight="1" x14ac:dyDescent="0.15">
      <c r="C1" s="1" t="s">
        <v>35</v>
      </c>
      <c r="D1" s="19"/>
      <c r="I1" s="29" t="s">
        <v>23</v>
      </c>
      <c r="J1" s="18" t="s">
        <v>24</v>
      </c>
      <c r="K1" s="18" t="s">
        <v>25</v>
      </c>
    </row>
    <row r="2" spans="1:12" ht="15" customHeight="1" x14ac:dyDescent="0.15">
      <c r="I2" s="30"/>
      <c r="J2" s="7">
        <v>5.4000000000000001E-4</v>
      </c>
      <c r="K2" s="7">
        <v>1E-4</v>
      </c>
    </row>
    <row r="3" spans="1:12" ht="23.1" customHeight="1" x14ac:dyDescent="0.15">
      <c r="A3" s="33" t="s">
        <v>34</v>
      </c>
      <c r="B3" s="35"/>
      <c r="C3" s="35"/>
      <c r="D3" s="35"/>
      <c r="F3" s="33" t="s">
        <v>19</v>
      </c>
      <c r="G3" s="33"/>
      <c r="H3" s="33"/>
      <c r="I3" s="33"/>
      <c r="J3" s="33"/>
      <c r="K3" s="8"/>
      <c r="L3" s="8"/>
    </row>
    <row r="4" spans="1:12" ht="11.1" customHeight="1" x14ac:dyDescent="0.15">
      <c r="A4" s="36"/>
      <c r="B4" s="36"/>
      <c r="C4" s="36"/>
      <c r="D4" s="36"/>
      <c r="F4" s="34"/>
      <c r="G4" s="34"/>
      <c r="H4" s="34"/>
      <c r="I4" s="34"/>
      <c r="J4" s="34"/>
    </row>
    <row r="5" spans="1:12" ht="15" customHeight="1" x14ac:dyDescent="0.15">
      <c r="A5" s="2"/>
      <c r="B5" s="2"/>
      <c r="C5" s="2"/>
      <c r="D5" s="2"/>
      <c r="F5" s="18" t="s">
        <v>28</v>
      </c>
      <c r="G5" s="12"/>
      <c r="H5" s="18" t="s">
        <v>29</v>
      </c>
      <c r="I5" s="11"/>
      <c r="J5" s="18" t="s">
        <v>22</v>
      </c>
      <c r="K5" s="12" t="s">
        <v>18</v>
      </c>
    </row>
    <row r="6" spans="1:12" s="3" customFormat="1" ht="15" customHeight="1" x14ac:dyDescent="0.15">
      <c r="A6" s="4"/>
      <c r="B6" s="4"/>
      <c r="C6" s="4"/>
      <c r="D6" s="4"/>
      <c r="F6" s="18" t="s">
        <v>20</v>
      </c>
      <c r="G6" s="10">
        <v>0.05</v>
      </c>
      <c r="H6" s="18" t="s">
        <v>27</v>
      </c>
      <c r="I6" s="9">
        <v>0</v>
      </c>
      <c r="J6" s="18" t="s">
        <v>21</v>
      </c>
      <c r="K6" s="10">
        <v>100</v>
      </c>
    </row>
    <row r="7" spans="1:12" s="3" customFormat="1" ht="18.600000000000001" customHeight="1" x14ac:dyDescent="0.15">
      <c r="A7" s="17" t="s">
        <v>32</v>
      </c>
      <c r="B7" s="23" t="s">
        <v>1</v>
      </c>
      <c r="C7" s="22" t="s">
        <v>38</v>
      </c>
      <c r="D7" s="16" t="str">
        <f>$K$5</f>
        <v>psi</v>
      </c>
      <c r="F7" s="17" t="s">
        <v>32</v>
      </c>
      <c r="G7" s="6" t="str">
        <f>B7</f>
        <v>CH1</v>
      </c>
      <c r="I7" s="20"/>
      <c r="J7" s="6"/>
      <c r="K7" s="6"/>
    </row>
    <row r="8" spans="1:12" s="3" customFormat="1" ht="15" customHeight="1" x14ac:dyDescent="0.15">
      <c r="A8" s="25" t="s">
        <v>26</v>
      </c>
      <c r="B8" s="29" t="s">
        <v>30</v>
      </c>
      <c r="C8" s="29" t="s">
        <v>33</v>
      </c>
      <c r="D8" s="31" t="s">
        <v>31</v>
      </c>
      <c r="F8" s="18" t="s">
        <v>26</v>
      </c>
      <c r="G8" s="27" t="s">
        <v>36</v>
      </c>
      <c r="H8" s="25" t="s">
        <v>17</v>
      </c>
      <c r="I8" s="25" t="s">
        <v>37</v>
      </c>
      <c r="J8" s="25"/>
      <c r="K8" s="25"/>
    </row>
    <row r="9" spans="1:12" s="3" customFormat="1" x14ac:dyDescent="0.15">
      <c r="A9" s="25"/>
      <c r="B9" s="30"/>
      <c r="C9" s="30"/>
      <c r="D9" s="25"/>
      <c r="F9" s="18" t="str">
        <f>"（"&amp;$K$5&amp;"）"</f>
        <v>（psi）</v>
      </c>
      <c r="G9" s="25"/>
      <c r="H9" s="25"/>
      <c r="I9" s="25"/>
      <c r="J9" s="25"/>
      <c r="K9" s="25"/>
    </row>
    <row r="10" spans="1:12" s="3" customFormat="1" x14ac:dyDescent="0.15">
      <c r="A10" s="13">
        <v>1</v>
      </c>
      <c r="B10" s="13">
        <v>0</v>
      </c>
      <c r="C10" s="14">
        <f>B10-A10</f>
        <v>-1</v>
      </c>
      <c r="D10" s="5">
        <v>1.4E-2</v>
      </c>
      <c r="F10" s="15">
        <f t="shared" ref="F10:F20" si="0">A10</f>
        <v>1</v>
      </c>
      <c r="G10" s="7">
        <f t="shared" ref="G10:G20" si="1">ABS(C10)/($K$6-$I$6)</f>
        <v>0.01</v>
      </c>
      <c r="H10" s="28">
        <f>MAX(G10:G20)</f>
        <v>0.11</v>
      </c>
      <c r="I10" s="24"/>
      <c r="J10" s="24"/>
      <c r="K10" s="24"/>
    </row>
    <row r="11" spans="1:12" s="3" customFormat="1" x14ac:dyDescent="0.15">
      <c r="A11" s="13">
        <v>2</v>
      </c>
      <c r="B11" s="13">
        <v>0</v>
      </c>
      <c r="C11" s="14">
        <f t="shared" ref="C11:C20" si="2">B11-A11</f>
        <v>-2</v>
      </c>
      <c r="D11" s="5">
        <v>1.4E-2</v>
      </c>
      <c r="F11" s="15">
        <f t="shared" si="0"/>
        <v>2</v>
      </c>
      <c r="G11" s="7">
        <f t="shared" si="1"/>
        <v>0.02</v>
      </c>
      <c r="H11" s="28"/>
      <c r="I11" s="24"/>
      <c r="J11" s="24"/>
      <c r="K11" s="24"/>
    </row>
    <row r="12" spans="1:12" s="3" customFormat="1" x14ac:dyDescent="0.15">
      <c r="A12" s="13">
        <v>3</v>
      </c>
      <c r="B12" s="13">
        <v>0</v>
      </c>
      <c r="C12" s="14">
        <f t="shared" si="2"/>
        <v>-3</v>
      </c>
      <c r="D12" s="5">
        <v>1.4E-2</v>
      </c>
      <c r="F12" s="15">
        <f t="shared" si="0"/>
        <v>3</v>
      </c>
      <c r="G12" s="7">
        <f t="shared" si="1"/>
        <v>0.03</v>
      </c>
      <c r="H12" s="28"/>
      <c r="I12" s="24"/>
      <c r="J12" s="24"/>
      <c r="K12" s="24"/>
    </row>
    <row r="13" spans="1:12" s="3" customFormat="1" x14ac:dyDescent="0.15">
      <c r="A13" s="13">
        <v>4</v>
      </c>
      <c r="B13" s="13">
        <v>0</v>
      </c>
      <c r="C13" s="14">
        <f t="shared" si="2"/>
        <v>-4</v>
      </c>
      <c r="D13" s="5">
        <v>1.4E-2</v>
      </c>
      <c r="F13" s="15">
        <f t="shared" si="0"/>
        <v>4</v>
      </c>
      <c r="G13" s="7">
        <f t="shared" si="1"/>
        <v>0.04</v>
      </c>
      <c r="H13" s="28"/>
      <c r="I13" s="24"/>
      <c r="J13" s="24"/>
      <c r="K13" s="24"/>
    </row>
    <row r="14" spans="1:12" s="3" customFormat="1" x14ac:dyDescent="0.15">
      <c r="A14" s="13">
        <v>5</v>
      </c>
      <c r="B14" s="13">
        <v>0</v>
      </c>
      <c r="C14" s="14">
        <f t="shared" si="2"/>
        <v>-5</v>
      </c>
      <c r="D14" s="5">
        <v>1.4E-2</v>
      </c>
      <c r="F14" s="15">
        <f t="shared" si="0"/>
        <v>5</v>
      </c>
      <c r="G14" s="7">
        <f t="shared" si="1"/>
        <v>0.05</v>
      </c>
      <c r="H14" s="28"/>
      <c r="I14" s="24"/>
      <c r="J14" s="24"/>
      <c r="K14" s="24"/>
    </row>
    <row r="15" spans="1:12" s="3" customFormat="1" x14ac:dyDescent="0.15">
      <c r="A15" s="13">
        <v>6</v>
      </c>
      <c r="B15" s="13">
        <v>0</v>
      </c>
      <c r="C15" s="14">
        <f t="shared" si="2"/>
        <v>-6</v>
      </c>
      <c r="D15" s="5">
        <v>1.4E-2</v>
      </c>
      <c r="F15" s="15">
        <f t="shared" si="0"/>
        <v>6</v>
      </c>
      <c r="G15" s="7">
        <f t="shared" si="1"/>
        <v>0.06</v>
      </c>
      <c r="H15" s="28"/>
      <c r="I15" s="24"/>
      <c r="J15" s="24"/>
      <c r="K15" s="24"/>
    </row>
    <row r="16" spans="1:12" s="3" customFormat="1" x14ac:dyDescent="0.15">
      <c r="A16" s="13">
        <v>7</v>
      </c>
      <c r="B16" s="13">
        <v>0</v>
      </c>
      <c r="C16" s="14">
        <f t="shared" si="2"/>
        <v>-7</v>
      </c>
      <c r="D16" s="5">
        <v>1.4E-2</v>
      </c>
      <c r="F16" s="15">
        <f t="shared" si="0"/>
        <v>7</v>
      </c>
      <c r="G16" s="7">
        <f t="shared" si="1"/>
        <v>7.0000000000000007E-2</v>
      </c>
      <c r="H16" s="28"/>
      <c r="I16" s="24"/>
      <c r="J16" s="24"/>
      <c r="K16" s="24"/>
    </row>
    <row r="17" spans="1:11" s="3" customFormat="1" x14ac:dyDescent="0.15">
      <c r="A17" s="13">
        <v>8</v>
      </c>
      <c r="B17" s="13">
        <v>0</v>
      </c>
      <c r="C17" s="14">
        <f t="shared" si="2"/>
        <v>-8</v>
      </c>
      <c r="D17" s="5">
        <v>1.4E-2</v>
      </c>
      <c r="F17" s="15">
        <f t="shared" si="0"/>
        <v>8</v>
      </c>
      <c r="G17" s="7">
        <f t="shared" si="1"/>
        <v>0.08</v>
      </c>
      <c r="H17" s="28"/>
      <c r="I17" s="24"/>
      <c r="J17" s="24"/>
      <c r="K17" s="24"/>
    </row>
    <row r="18" spans="1:11" x14ac:dyDescent="0.15">
      <c r="A18" s="13">
        <v>9</v>
      </c>
      <c r="B18" s="13">
        <v>0</v>
      </c>
      <c r="C18" s="14">
        <f t="shared" si="2"/>
        <v>-9</v>
      </c>
      <c r="D18" s="5">
        <v>1.4E-2</v>
      </c>
      <c r="F18" s="15">
        <f t="shared" si="0"/>
        <v>9</v>
      </c>
      <c r="G18" s="7">
        <f t="shared" si="1"/>
        <v>0.09</v>
      </c>
      <c r="H18" s="28"/>
      <c r="I18" s="24"/>
      <c r="J18" s="24"/>
      <c r="K18" s="24"/>
    </row>
    <row r="19" spans="1:11" x14ac:dyDescent="0.15">
      <c r="A19" s="13">
        <v>10</v>
      </c>
      <c r="B19" s="13">
        <v>0</v>
      </c>
      <c r="C19" s="14">
        <f t="shared" si="2"/>
        <v>-10</v>
      </c>
      <c r="D19" s="5">
        <v>1.4E-2</v>
      </c>
      <c r="F19" s="15">
        <f t="shared" si="0"/>
        <v>10</v>
      </c>
      <c r="G19" s="7">
        <f t="shared" si="1"/>
        <v>0.1</v>
      </c>
      <c r="H19" s="28"/>
      <c r="I19" s="24"/>
      <c r="J19" s="24"/>
      <c r="K19" s="24"/>
    </row>
    <row r="20" spans="1:11" x14ac:dyDescent="0.15">
      <c r="A20" s="13">
        <v>11</v>
      </c>
      <c r="B20" s="13">
        <v>0</v>
      </c>
      <c r="C20" s="14">
        <f t="shared" si="2"/>
        <v>-11</v>
      </c>
      <c r="D20" s="5">
        <v>1.4E-2</v>
      </c>
      <c r="F20" s="15">
        <f t="shared" si="0"/>
        <v>11</v>
      </c>
      <c r="G20" s="7">
        <f t="shared" si="1"/>
        <v>0.11</v>
      </c>
      <c r="H20" s="28"/>
      <c r="I20" s="24"/>
      <c r="J20" s="24"/>
      <c r="K20" s="24"/>
    </row>
    <row r="21" spans="1:11" ht="11.25" customHeight="1" x14ac:dyDescent="0.15"/>
    <row r="22" spans="1:11" ht="15" customHeight="1" x14ac:dyDescent="0.15">
      <c r="A22" s="17" t="s">
        <v>32</v>
      </c>
      <c r="B22" s="23" t="s">
        <v>2</v>
      </c>
      <c r="C22" s="22" t="s">
        <v>38</v>
      </c>
      <c r="D22" s="16" t="str">
        <f>$K$5</f>
        <v>psi</v>
      </c>
      <c r="F22" s="17" t="s">
        <v>32</v>
      </c>
      <c r="G22" s="6" t="str">
        <f>B22</f>
        <v>CH2</v>
      </c>
      <c r="H22" s="3"/>
      <c r="I22" s="20"/>
      <c r="J22" s="6"/>
      <c r="K22" s="6"/>
    </row>
    <row r="23" spans="1:11" ht="15" customHeight="1" x14ac:dyDescent="0.15">
      <c r="A23" s="25" t="s">
        <v>26</v>
      </c>
      <c r="B23" s="29" t="s">
        <v>30</v>
      </c>
      <c r="C23" s="29" t="s">
        <v>33</v>
      </c>
      <c r="D23" s="31" t="s">
        <v>31</v>
      </c>
      <c r="F23" s="18" t="s">
        <v>26</v>
      </c>
      <c r="G23" s="27" t="s">
        <v>36</v>
      </c>
      <c r="H23" s="25" t="s">
        <v>17</v>
      </c>
      <c r="I23" s="25" t="s">
        <v>37</v>
      </c>
      <c r="J23" s="25"/>
      <c r="K23" s="25"/>
    </row>
    <row r="24" spans="1:11" x14ac:dyDescent="0.15">
      <c r="A24" s="25"/>
      <c r="B24" s="30"/>
      <c r="C24" s="30"/>
      <c r="D24" s="25"/>
      <c r="F24" s="18" t="str">
        <f>"（"&amp;$K$5&amp;"）"</f>
        <v>（psi）</v>
      </c>
      <c r="G24" s="25"/>
      <c r="H24" s="25"/>
      <c r="I24" s="25"/>
      <c r="J24" s="25"/>
      <c r="K24" s="25"/>
    </row>
    <row r="25" spans="1:11" x14ac:dyDescent="0.15">
      <c r="A25" s="13">
        <v>1</v>
      </c>
      <c r="B25" s="13">
        <v>0</v>
      </c>
      <c r="C25" s="14">
        <f>B25-A25</f>
        <v>-1</v>
      </c>
      <c r="D25" s="5">
        <v>1.4E-2</v>
      </c>
      <c r="F25" s="15">
        <f t="shared" ref="F25:F35" si="3">A25</f>
        <v>1</v>
      </c>
      <c r="G25" s="7">
        <f t="shared" ref="G25:G35" si="4">ABS(C25)/($K$6-$I$6)</f>
        <v>0.01</v>
      </c>
      <c r="H25" s="28">
        <f>MAX(G25:G35)</f>
        <v>0.11</v>
      </c>
      <c r="I25" s="24"/>
      <c r="J25" s="24"/>
      <c r="K25" s="24"/>
    </row>
    <row r="26" spans="1:11" x14ac:dyDescent="0.15">
      <c r="A26" s="13">
        <v>2</v>
      </c>
      <c r="B26" s="13">
        <v>0</v>
      </c>
      <c r="C26" s="14">
        <f t="shared" ref="C26:C35" si="5">B26-A26</f>
        <v>-2</v>
      </c>
      <c r="D26" s="5">
        <v>1.4E-2</v>
      </c>
      <c r="F26" s="15">
        <f t="shared" si="3"/>
        <v>2</v>
      </c>
      <c r="G26" s="7">
        <f t="shared" si="4"/>
        <v>0.02</v>
      </c>
      <c r="H26" s="28"/>
      <c r="I26" s="24"/>
      <c r="J26" s="24"/>
      <c r="K26" s="24"/>
    </row>
    <row r="27" spans="1:11" x14ac:dyDescent="0.15">
      <c r="A27" s="13">
        <v>3</v>
      </c>
      <c r="B27" s="13">
        <v>0</v>
      </c>
      <c r="C27" s="14">
        <f t="shared" si="5"/>
        <v>-3</v>
      </c>
      <c r="D27" s="5">
        <v>1.4E-2</v>
      </c>
      <c r="F27" s="15">
        <f t="shared" si="3"/>
        <v>3</v>
      </c>
      <c r="G27" s="7">
        <f t="shared" si="4"/>
        <v>0.03</v>
      </c>
      <c r="H27" s="28"/>
      <c r="I27" s="24"/>
      <c r="J27" s="24"/>
      <c r="K27" s="24"/>
    </row>
    <row r="28" spans="1:11" x14ac:dyDescent="0.15">
      <c r="A28" s="13">
        <v>4</v>
      </c>
      <c r="B28" s="13">
        <v>0</v>
      </c>
      <c r="C28" s="14">
        <f t="shared" si="5"/>
        <v>-4</v>
      </c>
      <c r="D28" s="5">
        <v>1.4E-2</v>
      </c>
      <c r="F28" s="15">
        <f t="shared" si="3"/>
        <v>4</v>
      </c>
      <c r="G28" s="7">
        <f t="shared" si="4"/>
        <v>0.04</v>
      </c>
      <c r="H28" s="28"/>
      <c r="I28" s="24"/>
      <c r="J28" s="24"/>
      <c r="K28" s="24"/>
    </row>
    <row r="29" spans="1:11" x14ac:dyDescent="0.15">
      <c r="A29" s="13">
        <v>5</v>
      </c>
      <c r="B29" s="13">
        <v>0</v>
      </c>
      <c r="C29" s="14">
        <f t="shared" si="5"/>
        <v>-5</v>
      </c>
      <c r="D29" s="5">
        <v>1.4E-2</v>
      </c>
      <c r="F29" s="15">
        <f t="shared" si="3"/>
        <v>5</v>
      </c>
      <c r="G29" s="7">
        <f t="shared" si="4"/>
        <v>0.05</v>
      </c>
      <c r="H29" s="28"/>
      <c r="I29" s="24"/>
      <c r="J29" s="24"/>
      <c r="K29" s="24"/>
    </row>
    <row r="30" spans="1:11" x14ac:dyDescent="0.15">
      <c r="A30" s="13">
        <v>6</v>
      </c>
      <c r="B30" s="13">
        <v>0</v>
      </c>
      <c r="C30" s="14">
        <f t="shared" si="5"/>
        <v>-6</v>
      </c>
      <c r="D30" s="5">
        <v>1.4E-2</v>
      </c>
      <c r="F30" s="15">
        <f t="shared" si="3"/>
        <v>6</v>
      </c>
      <c r="G30" s="7">
        <f t="shared" si="4"/>
        <v>0.06</v>
      </c>
      <c r="H30" s="28"/>
      <c r="I30" s="24"/>
      <c r="J30" s="24"/>
      <c r="K30" s="24"/>
    </row>
    <row r="31" spans="1:11" x14ac:dyDescent="0.15">
      <c r="A31" s="13">
        <v>7</v>
      </c>
      <c r="B31" s="13">
        <v>0</v>
      </c>
      <c r="C31" s="14">
        <f t="shared" si="5"/>
        <v>-7</v>
      </c>
      <c r="D31" s="5">
        <v>1.4E-2</v>
      </c>
      <c r="F31" s="15">
        <f t="shared" si="3"/>
        <v>7</v>
      </c>
      <c r="G31" s="7">
        <f t="shared" si="4"/>
        <v>7.0000000000000007E-2</v>
      </c>
      <c r="H31" s="28"/>
      <c r="I31" s="24"/>
      <c r="J31" s="24"/>
      <c r="K31" s="24"/>
    </row>
    <row r="32" spans="1:11" x14ac:dyDescent="0.15">
      <c r="A32" s="13">
        <v>8</v>
      </c>
      <c r="B32" s="13">
        <v>0</v>
      </c>
      <c r="C32" s="14">
        <f t="shared" si="5"/>
        <v>-8</v>
      </c>
      <c r="D32" s="5">
        <v>1.4E-2</v>
      </c>
      <c r="F32" s="15">
        <f t="shared" si="3"/>
        <v>8</v>
      </c>
      <c r="G32" s="7">
        <f t="shared" si="4"/>
        <v>0.08</v>
      </c>
      <c r="H32" s="28"/>
      <c r="I32" s="24"/>
      <c r="J32" s="24"/>
      <c r="K32" s="24"/>
    </row>
    <row r="33" spans="1:11" x14ac:dyDescent="0.15">
      <c r="A33" s="13">
        <v>9</v>
      </c>
      <c r="B33" s="13">
        <v>0</v>
      </c>
      <c r="C33" s="14">
        <f t="shared" si="5"/>
        <v>-9</v>
      </c>
      <c r="D33" s="5">
        <v>1.4E-2</v>
      </c>
      <c r="F33" s="15">
        <f t="shared" si="3"/>
        <v>9</v>
      </c>
      <c r="G33" s="7">
        <f t="shared" si="4"/>
        <v>0.09</v>
      </c>
      <c r="H33" s="28"/>
      <c r="I33" s="24"/>
      <c r="J33" s="24"/>
      <c r="K33" s="24"/>
    </row>
    <row r="34" spans="1:11" x14ac:dyDescent="0.15">
      <c r="A34" s="13">
        <v>10</v>
      </c>
      <c r="B34" s="13">
        <v>0</v>
      </c>
      <c r="C34" s="14">
        <f t="shared" si="5"/>
        <v>-10</v>
      </c>
      <c r="D34" s="5">
        <v>1.4E-2</v>
      </c>
      <c r="F34" s="15">
        <f t="shared" si="3"/>
        <v>10</v>
      </c>
      <c r="G34" s="7">
        <f t="shared" si="4"/>
        <v>0.1</v>
      </c>
      <c r="H34" s="28"/>
      <c r="I34" s="24"/>
      <c r="J34" s="24"/>
      <c r="K34" s="24"/>
    </row>
    <row r="35" spans="1:11" x14ac:dyDescent="0.15">
      <c r="A35" s="13">
        <v>11</v>
      </c>
      <c r="B35" s="13">
        <v>0</v>
      </c>
      <c r="C35" s="14">
        <f t="shared" si="5"/>
        <v>-11</v>
      </c>
      <c r="D35" s="5">
        <v>1.4E-2</v>
      </c>
      <c r="F35" s="15">
        <f t="shared" si="3"/>
        <v>11</v>
      </c>
      <c r="G35" s="7">
        <f t="shared" si="4"/>
        <v>0.11</v>
      </c>
      <c r="H35" s="28"/>
      <c r="I35" s="24"/>
      <c r="J35" s="24"/>
      <c r="K35" s="24"/>
    </row>
    <row r="36" spans="1:11" ht="9" customHeight="1" x14ac:dyDescent="0.15"/>
    <row r="37" spans="1:11" ht="15" customHeight="1" x14ac:dyDescent="0.15">
      <c r="A37" s="17" t="s">
        <v>32</v>
      </c>
      <c r="B37" s="23" t="s">
        <v>3</v>
      </c>
      <c r="C37" s="22" t="s">
        <v>38</v>
      </c>
      <c r="D37" s="16" t="str">
        <f>$K$5</f>
        <v>psi</v>
      </c>
      <c r="F37" s="17" t="s">
        <v>32</v>
      </c>
      <c r="G37" s="6" t="str">
        <f>B37</f>
        <v>CH3</v>
      </c>
      <c r="H37" s="3"/>
      <c r="I37" s="20"/>
      <c r="J37" s="6"/>
      <c r="K37" s="6"/>
    </row>
    <row r="38" spans="1:11" ht="15" customHeight="1" x14ac:dyDescent="0.15">
      <c r="A38" s="25" t="s">
        <v>26</v>
      </c>
      <c r="B38" s="29" t="s">
        <v>30</v>
      </c>
      <c r="C38" s="29" t="s">
        <v>33</v>
      </c>
      <c r="D38" s="31" t="s">
        <v>31</v>
      </c>
      <c r="F38" s="18" t="s">
        <v>26</v>
      </c>
      <c r="G38" s="27" t="s">
        <v>36</v>
      </c>
      <c r="H38" s="25" t="s">
        <v>17</v>
      </c>
      <c r="I38" s="25" t="s">
        <v>37</v>
      </c>
      <c r="J38" s="25"/>
      <c r="K38" s="25"/>
    </row>
    <row r="39" spans="1:11" x14ac:dyDescent="0.15">
      <c r="A39" s="25"/>
      <c r="B39" s="30"/>
      <c r="C39" s="30"/>
      <c r="D39" s="25"/>
      <c r="F39" s="18" t="str">
        <f>"（"&amp;$K$5&amp;"）"</f>
        <v>（psi）</v>
      </c>
      <c r="G39" s="25"/>
      <c r="H39" s="25"/>
      <c r="I39" s="25"/>
      <c r="J39" s="25"/>
      <c r="K39" s="25"/>
    </row>
    <row r="40" spans="1:11" x14ac:dyDescent="0.15">
      <c r="A40" s="13">
        <v>1</v>
      </c>
      <c r="B40" s="13">
        <v>0</v>
      </c>
      <c r="C40" s="14">
        <f>B40-A40</f>
        <v>-1</v>
      </c>
      <c r="D40" s="5">
        <v>1.4E-2</v>
      </c>
      <c r="F40" s="15">
        <f t="shared" ref="F40:F50" si="6">A40</f>
        <v>1</v>
      </c>
      <c r="G40" s="7">
        <f t="shared" ref="G40:G50" si="7">ABS(C40)/($K$6-$I$6)</f>
        <v>0.01</v>
      </c>
      <c r="H40" s="28">
        <f>MAX(G40:G50)</f>
        <v>0.11</v>
      </c>
      <c r="I40" s="24"/>
      <c r="J40" s="24"/>
      <c r="K40" s="24"/>
    </row>
    <row r="41" spans="1:11" x14ac:dyDescent="0.15">
      <c r="A41" s="13">
        <v>2</v>
      </c>
      <c r="B41" s="13">
        <v>0</v>
      </c>
      <c r="C41" s="14">
        <f t="shared" ref="C41:C50" si="8">B41-A41</f>
        <v>-2</v>
      </c>
      <c r="D41" s="5">
        <v>1.4E-2</v>
      </c>
      <c r="F41" s="15">
        <f t="shared" si="6"/>
        <v>2</v>
      </c>
      <c r="G41" s="7">
        <f t="shared" si="7"/>
        <v>0.02</v>
      </c>
      <c r="H41" s="28"/>
      <c r="I41" s="24"/>
      <c r="J41" s="24"/>
      <c r="K41" s="24"/>
    </row>
    <row r="42" spans="1:11" x14ac:dyDescent="0.15">
      <c r="A42" s="13">
        <v>3</v>
      </c>
      <c r="B42" s="13">
        <v>0</v>
      </c>
      <c r="C42" s="14">
        <f t="shared" si="8"/>
        <v>-3</v>
      </c>
      <c r="D42" s="5">
        <v>1.4E-2</v>
      </c>
      <c r="F42" s="15">
        <f t="shared" si="6"/>
        <v>3</v>
      </c>
      <c r="G42" s="7">
        <f t="shared" si="7"/>
        <v>0.03</v>
      </c>
      <c r="H42" s="28"/>
      <c r="I42" s="24"/>
      <c r="J42" s="24"/>
      <c r="K42" s="24"/>
    </row>
    <row r="43" spans="1:11" x14ac:dyDescent="0.15">
      <c r="A43" s="13">
        <v>4</v>
      </c>
      <c r="B43" s="13">
        <v>0</v>
      </c>
      <c r="C43" s="14">
        <f t="shared" si="8"/>
        <v>-4</v>
      </c>
      <c r="D43" s="5">
        <v>1.4E-2</v>
      </c>
      <c r="F43" s="15">
        <f t="shared" si="6"/>
        <v>4</v>
      </c>
      <c r="G43" s="7">
        <f t="shared" si="7"/>
        <v>0.04</v>
      </c>
      <c r="H43" s="28"/>
      <c r="I43" s="24"/>
      <c r="J43" s="24"/>
      <c r="K43" s="24"/>
    </row>
    <row r="44" spans="1:11" x14ac:dyDescent="0.15">
      <c r="A44" s="13">
        <v>5</v>
      </c>
      <c r="B44" s="13">
        <v>0</v>
      </c>
      <c r="C44" s="14">
        <f t="shared" si="8"/>
        <v>-5</v>
      </c>
      <c r="D44" s="5">
        <v>1.4E-2</v>
      </c>
      <c r="F44" s="15">
        <f t="shared" si="6"/>
        <v>5</v>
      </c>
      <c r="G44" s="7">
        <f t="shared" si="7"/>
        <v>0.05</v>
      </c>
      <c r="H44" s="28"/>
      <c r="I44" s="24"/>
      <c r="J44" s="24"/>
      <c r="K44" s="24"/>
    </row>
    <row r="45" spans="1:11" x14ac:dyDescent="0.15">
      <c r="A45" s="13">
        <v>6</v>
      </c>
      <c r="B45" s="13">
        <v>0</v>
      </c>
      <c r="C45" s="14">
        <f t="shared" si="8"/>
        <v>-6</v>
      </c>
      <c r="D45" s="5">
        <v>1.4E-2</v>
      </c>
      <c r="F45" s="15">
        <f t="shared" si="6"/>
        <v>6</v>
      </c>
      <c r="G45" s="7">
        <f t="shared" si="7"/>
        <v>0.06</v>
      </c>
      <c r="H45" s="28"/>
      <c r="I45" s="24"/>
      <c r="J45" s="24"/>
      <c r="K45" s="24"/>
    </row>
    <row r="46" spans="1:11" x14ac:dyDescent="0.15">
      <c r="A46" s="13">
        <v>7</v>
      </c>
      <c r="B46" s="13">
        <v>0</v>
      </c>
      <c r="C46" s="14">
        <f t="shared" si="8"/>
        <v>-7</v>
      </c>
      <c r="D46" s="5">
        <v>1.4E-2</v>
      </c>
      <c r="F46" s="15">
        <f t="shared" si="6"/>
        <v>7</v>
      </c>
      <c r="G46" s="7">
        <f t="shared" si="7"/>
        <v>7.0000000000000007E-2</v>
      </c>
      <c r="H46" s="28"/>
      <c r="I46" s="24"/>
      <c r="J46" s="24"/>
      <c r="K46" s="24"/>
    </row>
    <row r="47" spans="1:11" x14ac:dyDescent="0.15">
      <c r="A47" s="13">
        <v>8</v>
      </c>
      <c r="B47" s="13">
        <v>0</v>
      </c>
      <c r="C47" s="14">
        <f t="shared" si="8"/>
        <v>-8</v>
      </c>
      <c r="D47" s="5">
        <v>1.4E-2</v>
      </c>
      <c r="F47" s="15">
        <f t="shared" si="6"/>
        <v>8</v>
      </c>
      <c r="G47" s="7">
        <f t="shared" si="7"/>
        <v>0.08</v>
      </c>
      <c r="H47" s="28"/>
      <c r="I47" s="24"/>
      <c r="J47" s="24"/>
      <c r="K47" s="24"/>
    </row>
    <row r="48" spans="1:11" x14ac:dyDescent="0.15">
      <c r="A48" s="13">
        <v>9</v>
      </c>
      <c r="B48" s="13">
        <v>0</v>
      </c>
      <c r="C48" s="14">
        <f t="shared" si="8"/>
        <v>-9</v>
      </c>
      <c r="D48" s="5">
        <v>1.4E-2</v>
      </c>
      <c r="F48" s="15">
        <f t="shared" si="6"/>
        <v>9</v>
      </c>
      <c r="G48" s="7">
        <f t="shared" si="7"/>
        <v>0.09</v>
      </c>
      <c r="H48" s="28"/>
      <c r="I48" s="24"/>
      <c r="J48" s="24"/>
      <c r="K48" s="24"/>
    </row>
    <row r="49" spans="1:11" x14ac:dyDescent="0.15">
      <c r="A49" s="13">
        <v>10</v>
      </c>
      <c r="B49" s="13">
        <v>0</v>
      </c>
      <c r="C49" s="14">
        <f t="shared" si="8"/>
        <v>-10</v>
      </c>
      <c r="D49" s="5">
        <v>1.4E-2</v>
      </c>
      <c r="F49" s="15">
        <f t="shared" si="6"/>
        <v>10</v>
      </c>
      <c r="G49" s="7">
        <f t="shared" si="7"/>
        <v>0.1</v>
      </c>
      <c r="H49" s="28"/>
      <c r="I49" s="24"/>
      <c r="J49" s="24"/>
      <c r="K49" s="24"/>
    </row>
    <row r="50" spans="1:11" x14ac:dyDescent="0.15">
      <c r="A50" s="13">
        <v>11</v>
      </c>
      <c r="B50" s="13">
        <v>0</v>
      </c>
      <c r="C50" s="14">
        <f t="shared" si="8"/>
        <v>-11</v>
      </c>
      <c r="D50" s="5">
        <v>1.4E-2</v>
      </c>
      <c r="F50" s="15">
        <f t="shared" si="6"/>
        <v>11</v>
      </c>
      <c r="G50" s="7">
        <f t="shared" si="7"/>
        <v>0.11</v>
      </c>
      <c r="H50" s="28"/>
      <c r="I50" s="24"/>
      <c r="J50" s="24"/>
      <c r="K50" s="24"/>
    </row>
    <row r="51" spans="1:11" x14ac:dyDescent="0.15">
      <c r="A51" s="17" t="s">
        <v>32</v>
      </c>
      <c r="B51" s="23" t="s">
        <v>4</v>
      </c>
      <c r="C51" s="22" t="s">
        <v>38</v>
      </c>
      <c r="D51" s="16" t="str">
        <f>$K$5</f>
        <v>psi</v>
      </c>
      <c r="F51" s="17" t="s">
        <v>32</v>
      </c>
      <c r="G51" s="6" t="str">
        <f>B51</f>
        <v>CH4</v>
      </c>
      <c r="H51" s="3"/>
      <c r="I51" s="20"/>
      <c r="J51" s="6"/>
      <c r="K51" s="6"/>
    </row>
    <row r="52" spans="1:11" ht="15" customHeight="1" x14ac:dyDescent="0.15">
      <c r="A52" s="25" t="s">
        <v>26</v>
      </c>
      <c r="B52" s="29" t="s">
        <v>30</v>
      </c>
      <c r="C52" s="29" t="s">
        <v>33</v>
      </c>
      <c r="D52" s="31" t="s">
        <v>31</v>
      </c>
      <c r="F52" s="18" t="s">
        <v>26</v>
      </c>
      <c r="G52" s="27" t="s">
        <v>36</v>
      </c>
      <c r="H52" s="25" t="s">
        <v>17</v>
      </c>
      <c r="I52" s="25" t="s">
        <v>37</v>
      </c>
      <c r="J52" s="25"/>
      <c r="K52" s="25"/>
    </row>
    <row r="53" spans="1:11" x14ac:dyDescent="0.15">
      <c r="A53" s="25"/>
      <c r="B53" s="30"/>
      <c r="C53" s="30"/>
      <c r="D53" s="25"/>
      <c r="F53" s="18" t="str">
        <f>"（"&amp;$K$5&amp;"）"</f>
        <v>（psi）</v>
      </c>
      <c r="G53" s="25"/>
      <c r="H53" s="25"/>
      <c r="I53" s="25"/>
      <c r="J53" s="25"/>
      <c r="K53" s="25"/>
    </row>
    <row r="54" spans="1:11" x14ac:dyDescent="0.15">
      <c r="A54" s="13">
        <v>1</v>
      </c>
      <c r="B54" s="13">
        <v>0</v>
      </c>
      <c r="C54" s="14">
        <f>B54-A54</f>
        <v>-1</v>
      </c>
      <c r="D54" s="5">
        <v>1.4E-2</v>
      </c>
      <c r="F54" s="15">
        <f t="shared" ref="F54:F64" si="9">A54</f>
        <v>1</v>
      </c>
      <c r="G54" s="7">
        <f t="shared" ref="G54:G64" si="10">ABS(C54)/($K$6-$I$6)</f>
        <v>0.01</v>
      </c>
      <c r="H54" s="28">
        <f>MAX(G54:G64)</f>
        <v>0.11</v>
      </c>
      <c r="I54" s="24"/>
      <c r="J54" s="24"/>
      <c r="K54" s="24"/>
    </row>
    <row r="55" spans="1:11" x14ac:dyDescent="0.15">
      <c r="A55" s="13">
        <v>2</v>
      </c>
      <c r="B55" s="13">
        <v>0</v>
      </c>
      <c r="C55" s="14">
        <f t="shared" ref="C55:C64" si="11">B55-A55</f>
        <v>-2</v>
      </c>
      <c r="D55" s="5">
        <v>1.4E-2</v>
      </c>
      <c r="F55" s="15">
        <f t="shared" si="9"/>
        <v>2</v>
      </c>
      <c r="G55" s="7">
        <f t="shared" si="10"/>
        <v>0.02</v>
      </c>
      <c r="H55" s="28"/>
      <c r="I55" s="24"/>
      <c r="J55" s="24"/>
      <c r="K55" s="24"/>
    </row>
    <row r="56" spans="1:11" x14ac:dyDescent="0.15">
      <c r="A56" s="13">
        <v>3</v>
      </c>
      <c r="B56" s="13">
        <v>0</v>
      </c>
      <c r="C56" s="14">
        <f t="shared" si="11"/>
        <v>-3</v>
      </c>
      <c r="D56" s="5">
        <v>1.4E-2</v>
      </c>
      <c r="F56" s="15">
        <f t="shared" si="9"/>
        <v>3</v>
      </c>
      <c r="G56" s="7">
        <f t="shared" si="10"/>
        <v>0.03</v>
      </c>
      <c r="H56" s="28"/>
      <c r="I56" s="24"/>
      <c r="J56" s="24"/>
      <c r="K56" s="24"/>
    </row>
    <row r="57" spans="1:11" x14ac:dyDescent="0.15">
      <c r="A57" s="13">
        <v>4</v>
      </c>
      <c r="B57" s="13">
        <v>0</v>
      </c>
      <c r="C57" s="14">
        <f t="shared" si="11"/>
        <v>-4</v>
      </c>
      <c r="D57" s="5">
        <v>1.4E-2</v>
      </c>
      <c r="F57" s="15">
        <f t="shared" si="9"/>
        <v>4</v>
      </c>
      <c r="G57" s="7">
        <f t="shared" si="10"/>
        <v>0.04</v>
      </c>
      <c r="H57" s="28"/>
      <c r="I57" s="24"/>
      <c r="J57" s="24"/>
      <c r="K57" s="24"/>
    </row>
    <row r="58" spans="1:11" x14ac:dyDescent="0.15">
      <c r="A58" s="13">
        <v>5</v>
      </c>
      <c r="B58" s="13">
        <v>0</v>
      </c>
      <c r="C58" s="14">
        <f t="shared" si="11"/>
        <v>-5</v>
      </c>
      <c r="D58" s="5">
        <v>1.4E-2</v>
      </c>
      <c r="F58" s="15">
        <f t="shared" si="9"/>
        <v>5</v>
      </c>
      <c r="G58" s="7">
        <f t="shared" si="10"/>
        <v>0.05</v>
      </c>
      <c r="H58" s="28"/>
      <c r="I58" s="24"/>
      <c r="J58" s="24"/>
      <c r="K58" s="24"/>
    </row>
    <row r="59" spans="1:11" x14ac:dyDescent="0.15">
      <c r="A59" s="13">
        <v>6</v>
      </c>
      <c r="B59" s="13">
        <v>0</v>
      </c>
      <c r="C59" s="14">
        <f t="shared" si="11"/>
        <v>-6</v>
      </c>
      <c r="D59" s="5">
        <v>1.4E-2</v>
      </c>
      <c r="F59" s="15">
        <f t="shared" si="9"/>
        <v>6</v>
      </c>
      <c r="G59" s="7">
        <f t="shared" si="10"/>
        <v>0.06</v>
      </c>
      <c r="H59" s="28"/>
      <c r="I59" s="24"/>
      <c r="J59" s="24"/>
      <c r="K59" s="24"/>
    </row>
    <row r="60" spans="1:11" x14ac:dyDescent="0.15">
      <c r="A60" s="13">
        <v>7</v>
      </c>
      <c r="B60" s="13">
        <v>0</v>
      </c>
      <c r="C60" s="14">
        <f t="shared" si="11"/>
        <v>-7</v>
      </c>
      <c r="D60" s="5">
        <v>1.4E-2</v>
      </c>
      <c r="F60" s="15">
        <f t="shared" si="9"/>
        <v>7</v>
      </c>
      <c r="G60" s="7">
        <f t="shared" si="10"/>
        <v>7.0000000000000007E-2</v>
      </c>
      <c r="H60" s="28"/>
      <c r="I60" s="24"/>
      <c r="J60" s="24"/>
      <c r="K60" s="24"/>
    </row>
    <row r="61" spans="1:11" x14ac:dyDescent="0.15">
      <c r="A61" s="13">
        <v>8</v>
      </c>
      <c r="B61" s="13">
        <v>0</v>
      </c>
      <c r="C61" s="14">
        <f t="shared" si="11"/>
        <v>-8</v>
      </c>
      <c r="D61" s="5">
        <v>1.4E-2</v>
      </c>
      <c r="F61" s="15">
        <f t="shared" si="9"/>
        <v>8</v>
      </c>
      <c r="G61" s="7">
        <f t="shared" si="10"/>
        <v>0.08</v>
      </c>
      <c r="H61" s="28"/>
      <c r="I61" s="24"/>
      <c r="J61" s="24"/>
      <c r="K61" s="24"/>
    </row>
    <row r="62" spans="1:11" x14ac:dyDescent="0.15">
      <c r="A62" s="13">
        <v>9</v>
      </c>
      <c r="B62" s="13">
        <v>0</v>
      </c>
      <c r="C62" s="14">
        <f t="shared" si="11"/>
        <v>-9</v>
      </c>
      <c r="D62" s="5">
        <v>1.4E-2</v>
      </c>
      <c r="F62" s="15">
        <f t="shared" si="9"/>
        <v>9</v>
      </c>
      <c r="G62" s="7">
        <f t="shared" si="10"/>
        <v>0.09</v>
      </c>
      <c r="H62" s="28"/>
      <c r="I62" s="24"/>
      <c r="J62" s="24"/>
      <c r="K62" s="24"/>
    </row>
    <row r="63" spans="1:11" x14ac:dyDescent="0.15">
      <c r="A63" s="13">
        <v>10</v>
      </c>
      <c r="B63" s="13">
        <v>0</v>
      </c>
      <c r="C63" s="14">
        <f t="shared" si="11"/>
        <v>-10</v>
      </c>
      <c r="D63" s="5">
        <v>1.4E-2</v>
      </c>
      <c r="F63" s="15">
        <f t="shared" si="9"/>
        <v>10</v>
      </c>
      <c r="G63" s="7">
        <f t="shared" si="10"/>
        <v>0.1</v>
      </c>
      <c r="H63" s="28"/>
      <c r="I63" s="24"/>
      <c r="J63" s="24"/>
      <c r="K63" s="24"/>
    </row>
    <row r="64" spans="1:11" x14ac:dyDescent="0.15">
      <c r="A64" s="13">
        <v>11</v>
      </c>
      <c r="B64" s="13">
        <v>0</v>
      </c>
      <c r="C64" s="14">
        <f t="shared" si="11"/>
        <v>-11</v>
      </c>
      <c r="D64" s="5">
        <v>1.4E-2</v>
      </c>
      <c r="F64" s="15">
        <f t="shared" si="9"/>
        <v>11</v>
      </c>
      <c r="G64" s="7">
        <f t="shared" si="10"/>
        <v>0.11</v>
      </c>
      <c r="H64" s="28"/>
      <c r="I64" s="24"/>
      <c r="J64" s="24"/>
      <c r="K64" s="24"/>
    </row>
    <row r="66" spans="1:11" ht="15" customHeight="1" x14ac:dyDescent="0.15">
      <c r="A66" s="17" t="s">
        <v>32</v>
      </c>
      <c r="B66" s="23" t="s">
        <v>5</v>
      </c>
      <c r="C66" s="22" t="s">
        <v>38</v>
      </c>
      <c r="D66" s="16" t="str">
        <f>$K$5</f>
        <v>psi</v>
      </c>
      <c r="F66" s="17" t="s">
        <v>32</v>
      </c>
      <c r="G66" s="6" t="str">
        <f>B66</f>
        <v>CH5</v>
      </c>
      <c r="H66" s="3"/>
      <c r="I66" s="20"/>
      <c r="J66" s="6"/>
      <c r="K66" s="6"/>
    </row>
    <row r="67" spans="1:11" ht="15" customHeight="1" x14ac:dyDescent="0.15">
      <c r="A67" s="25" t="s">
        <v>26</v>
      </c>
      <c r="B67" s="29" t="s">
        <v>30</v>
      </c>
      <c r="C67" s="29" t="s">
        <v>33</v>
      </c>
      <c r="D67" s="31" t="s">
        <v>31</v>
      </c>
      <c r="F67" s="18" t="s">
        <v>26</v>
      </c>
      <c r="G67" s="27" t="s">
        <v>36</v>
      </c>
      <c r="H67" s="25" t="s">
        <v>17</v>
      </c>
      <c r="I67" s="25" t="s">
        <v>37</v>
      </c>
      <c r="J67" s="25"/>
      <c r="K67" s="25"/>
    </row>
    <row r="68" spans="1:11" x14ac:dyDescent="0.15">
      <c r="A68" s="25"/>
      <c r="B68" s="30"/>
      <c r="C68" s="30"/>
      <c r="D68" s="25"/>
      <c r="F68" s="18" t="str">
        <f>"（"&amp;$K$5&amp;"）"</f>
        <v>（psi）</v>
      </c>
      <c r="G68" s="25"/>
      <c r="H68" s="25"/>
      <c r="I68" s="25"/>
      <c r="J68" s="25"/>
      <c r="K68" s="25"/>
    </row>
    <row r="69" spans="1:11" x14ac:dyDescent="0.15">
      <c r="A69" s="13">
        <v>1</v>
      </c>
      <c r="B69" s="13">
        <v>0</v>
      </c>
      <c r="C69" s="14">
        <f>B69-A69</f>
        <v>-1</v>
      </c>
      <c r="D69" s="5">
        <v>1.4E-2</v>
      </c>
      <c r="F69" s="15">
        <f t="shared" ref="F69:F79" si="12">A69</f>
        <v>1</v>
      </c>
      <c r="G69" s="7">
        <f t="shared" ref="G69:G79" si="13">ABS(C69)/($K$6-$I$6)</f>
        <v>0.01</v>
      </c>
      <c r="H69" s="28">
        <f>MAX(G69:G79)</f>
        <v>0.11</v>
      </c>
      <c r="I69" s="24"/>
      <c r="J69" s="24"/>
      <c r="K69" s="24"/>
    </row>
    <row r="70" spans="1:11" x14ac:dyDescent="0.15">
      <c r="A70" s="13">
        <v>2</v>
      </c>
      <c r="B70" s="13">
        <v>0</v>
      </c>
      <c r="C70" s="14">
        <f t="shared" ref="C70:C79" si="14">B70-A70</f>
        <v>-2</v>
      </c>
      <c r="D70" s="5">
        <v>1.4E-2</v>
      </c>
      <c r="F70" s="15">
        <f t="shared" si="12"/>
        <v>2</v>
      </c>
      <c r="G70" s="7">
        <f t="shared" si="13"/>
        <v>0.02</v>
      </c>
      <c r="H70" s="28"/>
      <c r="I70" s="24"/>
      <c r="J70" s="24"/>
      <c r="K70" s="24"/>
    </row>
    <row r="71" spans="1:11" x14ac:dyDescent="0.15">
      <c r="A71" s="13">
        <v>3</v>
      </c>
      <c r="B71" s="13">
        <v>0</v>
      </c>
      <c r="C71" s="14">
        <f t="shared" si="14"/>
        <v>-3</v>
      </c>
      <c r="D71" s="5">
        <v>1.4E-2</v>
      </c>
      <c r="F71" s="15">
        <f t="shared" si="12"/>
        <v>3</v>
      </c>
      <c r="G71" s="7">
        <f t="shared" si="13"/>
        <v>0.03</v>
      </c>
      <c r="H71" s="28"/>
      <c r="I71" s="24"/>
      <c r="J71" s="24"/>
      <c r="K71" s="24"/>
    </row>
    <row r="72" spans="1:11" x14ac:dyDescent="0.15">
      <c r="A72" s="13">
        <v>4</v>
      </c>
      <c r="B72" s="13">
        <v>0</v>
      </c>
      <c r="C72" s="14">
        <f t="shared" si="14"/>
        <v>-4</v>
      </c>
      <c r="D72" s="5">
        <v>1.4E-2</v>
      </c>
      <c r="F72" s="15">
        <f t="shared" si="12"/>
        <v>4</v>
      </c>
      <c r="G72" s="7">
        <f t="shared" si="13"/>
        <v>0.04</v>
      </c>
      <c r="H72" s="28"/>
      <c r="I72" s="24"/>
      <c r="J72" s="24"/>
      <c r="K72" s="24"/>
    </row>
    <row r="73" spans="1:11" x14ac:dyDescent="0.15">
      <c r="A73" s="13">
        <v>5</v>
      </c>
      <c r="B73" s="13">
        <v>0</v>
      </c>
      <c r="C73" s="14">
        <f t="shared" si="14"/>
        <v>-5</v>
      </c>
      <c r="D73" s="5">
        <v>1.4E-2</v>
      </c>
      <c r="F73" s="15">
        <f t="shared" si="12"/>
        <v>5</v>
      </c>
      <c r="G73" s="7">
        <f t="shared" si="13"/>
        <v>0.05</v>
      </c>
      <c r="H73" s="28"/>
      <c r="I73" s="24"/>
      <c r="J73" s="24"/>
      <c r="K73" s="24"/>
    </row>
    <row r="74" spans="1:11" x14ac:dyDescent="0.15">
      <c r="A74" s="13">
        <v>6</v>
      </c>
      <c r="B74" s="13">
        <v>0</v>
      </c>
      <c r="C74" s="14">
        <f t="shared" si="14"/>
        <v>-6</v>
      </c>
      <c r="D74" s="5">
        <v>1.4E-2</v>
      </c>
      <c r="F74" s="15">
        <f t="shared" si="12"/>
        <v>6</v>
      </c>
      <c r="G74" s="7">
        <f t="shared" si="13"/>
        <v>0.06</v>
      </c>
      <c r="H74" s="28"/>
      <c r="I74" s="24"/>
      <c r="J74" s="24"/>
      <c r="K74" s="24"/>
    </row>
    <row r="75" spans="1:11" x14ac:dyDescent="0.15">
      <c r="A75" s="13">
        <v>7</v>
      </c>
      <c r="B75" s="13">
        <v>0</v>
      </c>
      <c r="C75" s="14">
        <f t="shared" si="14"/>
        <v>-7</v>
      </c>
      <c r="D75" s="5">
        <v>1.4E-2</v>
      </c>
      <c r="F75" s="15">
        <f t="shared" si="12"/>
        <v>7</v>
      </c>
      <c r="G75" s="7">
        <f t="shared" si="13"/>
        <v>7.0000000000000007E-2</v>
      </c>
      <c r="H75" s="28"/>
      <c r="I75" s="24"/>
      <c r="J75" s="24"/>
      <c r="K75" s="24"/>
    </row>
    <row r="76" spans="1:11" x14ac:dyDescent="0.15">
      <c r="A76" s="13">
        <v>8</v>
      </c>
      <c r="B76" s="13">
        <v>0</v>
      </c>
      <c r="C76" s="14">
        <f t="shared" si="14"/>
        <v>-8</v>
      </c>
      <c r="D76" s="5">
        <v>1.4E-2</v>
      </c>
      <c r="F76" s="15">
        <f t="shared" si="12"/>
        <v>8</v>
      </c>
      <c r="G76" s="7">
        <f t="shared" si="13"/>
        <v>0.08</v>
      </c>
      <c r="H76" s="28"/>
      <c r="I76" s="24"/>
      <c r="J76" s="24"/>
      <c r="K76" s="24"/>
    </row>
    <row r="77" spans="1:11" x14ac:dyDescent="0.15">
      <c r="A77" s="13">
        <v>9</v>
      </c>
      <c r="B77" s="13">
        <v>0</v>
      </c>
      <c r="C77" s="14">
        <f t="shared" si="14"/>
        <v>-9</v>
      </c>
      <c r="D77" s="5">
        <v>1.4E-2</v>
      </c>
      <c r="F77" s="15">
        <f t="shared" si="12"/>
        <v>9</v>
      </c>
      <c r="G77" s="7">
        <f t="shared" si="13"/>
        <v>0.09</v>
      </c>
      <c r="H77" s="28"/>
      <c r="I77" s="24"/>
      <c r="J77" s="24"/>
      <c r="K77" s="24"/>
    </row>
    <row r="78" spans="1:11" x14ac:dyDescent="0.15">
      <c r="A78" s="13">
        <v>10</v>
      </c>
      <c r="B78" s="13">
        <v>0</v>
      </c>
      <c r="C78" s="14">
        <f t="shared" si="14"/>
        <v>-10</v>
      </c>
      <c r="D78" s="5">
        <v>1.4E-2</v>
      </c>
      <c r="F78" s="15">
        <f t="shared" si="12"/>
        <v>10</v>
      </c>
      <c r="G78" s="7">
        <f t="shared" si="13"/>
        <v>0.1</v>
      </c>
      <c r="H78" s="28"/>
      <c r="I78" s="24"/>
      <c r="J78" s="24"/>
      <c r="K78" s="24"/>
    </row>
    <row r="79" spans="1:11" x14ac:dyDescent="0.15">
      <c r="A79" s="13">
        <v>11</v>
      </c>
      <c r="B79" s="13">
        <v>0</v>
      </c>
      <c r="C79" s="14">
        <f t="shared" si="14"/>
        <v>-11</v>
      </c>
      <c r="D79" s="5">
        <v>1.4E-2</v>
      </c>
      <c r="F79" s="15">
        <f t="shared" si="12"/>
        <v>11</v>
      </c>
      <c r="G79" s="7">
        <f t="shared" si="13"/>
        <v>0.11</v>
      </c>
      <c r="H79" s="28"/>
      <c r="I79" s="24"/>
      <c r="J79" s="24"/>
      <c r="K79" s="24"/>
    </row>
    <row r="81" spans="1:11" ht="15" customHeight="1" x14ac:dyDescent="0.15">
      <c r="A81" s="17" t="s">
        <v>32</v>
      </c>
      <c r="B81" s="23" t="s">
        <v>6</v>
      </c>
      <c r="C81" s="22" t="s">
        <v>38</v>
      </c>
      <c r="D81" s="16" t="str">
        <f>$K$5</f>
        <v>psi</v>
      </c>
      <c r="F81" s="17" t="s">
        <v>32</v>
      </c>
      <c r="G81" s="6" t="str">
        <f>B81</f>
        <v>CH6</v>
      </c>
      <c r="H81" s="3"/>
      <c r="I81" s="20"/>
      <c r="J81" s="6"/>
      <c r="K81" s="6"/>
    </row>
    <row r="82" spans="1:11" ht="15" customHeight="1" x14ac:dyDescent="0.15">
      <c r="A82" s="25" t="s">
        <v>26</v>
      </c>
      <c r="B82" s="29" t="s">
        <v>30</v>
      </c>
      <c r="C82" s="29" t="s">
        <v>33</v>
      </c>
      <c r="D82" s="31" t="s">
        <v>31</v>
      </c>
      <c r="F82" s="18" t="s">
        <v>26</v>
      </c>
      <c r="G82" s="27" t="s">
        <v>36</v>
      </c>
      <c r="H82" s="25" t="s">
        <v>17</v>
      </c>
      <c r="I82" s="25" t="s">
        <v>37</v>
      </c>
      <c r="J82" s="25"/>
      <c r="K82" s="25"/>
    </row>
    <row r="83" spans="1:11" x14ac:dyDescent="0.15">
      <c r="A83" s="25"/>
      <c r="B83" s="30"/>
      <c r="C83" s="30"/>
      <c r="D83" s="25"/>
      <c r="F83" s="18" t="str">
        <f>"（"&amp;$K$5&amp;"）"</f>
        <v>（psi）</v>
      </c>
      <c r="G83" s="25"/>
      <c r="H83" s="25"/>
      <c r="I83" s="25"/>
      <c r="J83" s="25"/>
      <c r="K83" s="25"/>
    </row>
    <row r="84" spans="1:11" x14ac:dyDescent="0.15">
      <c r="A84" s="13">
        <v>1</v>
      </c>
      <c r="B84" s="13">
        <v>0</v>
      </c>
      <c r="C84" s="14">
        <f>B84-A84</f>
        <v>-1</v>
      </c>
      <c r="D84" s="5">
        <v>1.4E-2</v>
      </c>
      <c r="F84" s="15">
        <f t="shared" ref="F84:F94" si="15">A84</f>
        <v>1</v>
      </c>
      <c r="G84" s="7">
        <f t="shared" ref="G84:G94" si="16">ABS(C84)/($K$6-$I$6)</f>
        <v>0.01</v>
      </c>
      <c r="H84" s="28">
        <f>MAX(G84:G94)</f>
        <v>0.11</v>
      </c>
      <c r="I84" s="24"/>
      <c r="J84" s="24"/>
      <c r="K84" s="24"/>
    </row>
    <row r="85" spans="1:11" x14ac:dyDescent="0.15">
      <c r="A85" s="13">
        <v>2</v>
      </c>
      <c r="B85" s="13">
        <v>0</v>
      </c>
      <c r="C85" s="14">
        <f t="shared" ref="C85:C94" si="17">B85-A85</f>
        <v>-2</v>
      </c>
      <c r="D85" s="5">
        <v>1.4E-2</v>
      </c>
      <c r="F85" s="15">
        <f t="shared" si="15"/>
        <v>2</v>
      </c>
      <c r="G85" s="7">
        <f t="shared" si="16"/>
        <v>0.02</v>
      </c>
      <c r="H85" s="28"/>
      <c r="I85" s="24"/>
      <c r="J85" s="24"/>
      <c r="K85" s="24"/>
    </row>
    <row r="86" spans="1:11" x14ac:dyDescent="0.15">
      <c r="A86" s="13">
        <v>3</v>
      </c>
      <c r="B86" s="13">
        <v>0</v>
      </c>
      <c r="C86" s="14">
        <f t="shared" si="17"/>
        <v>-3</v>
      </c>
      <c r="D86" s="5">
        <v>1.4E-2</v>
      </c>
      <c r="F86" s="15">
        <f t="shared" si="15"/>
        <v>3</v>
      </c>
      <c r="G86" s="7">
        <f t="shared" si="16"/>
        <v>0.03</v>
      </c>
      <c r="H86" s="28"/>
      <c r="I86" s="24"/>
      <c r="J86" s="24"/>
      <c r="K86" s="24"/>
    </row>
    <row r="87" spans="1:11" x14ac:dyDescent="0.15">
      <c r="A87" s="13">
        <v>4</v>
      </c>
      <c r="B87" s="13">
        <v>0</v>
      </c>
      <c r="C87" s="14">
        <f t="shared" si="17"/>
        <v>-4</v>
      </c>
      <c r="D87" s="5">
        <v>1.4E-2</v>
      </c>
      <c r="F87" s="15">
        <f t="shared" si="15"/>
        <v>4</v>
      </c>
      <c r="G87" s="7">
        <f t="shared" si="16"/>
        <v>0.04</v>
      </c>
      <c r="H87" s="28"/>
      <c r="I87" s="24"/>
      <c r="J87" s="24"/>
      <c r="K87" s="24"/>
    </row>
    <row r="88" spans="1:11" x14ac:dyDescent="0.15">
      <c r="A88" s="13">
        <v>5</v>
      </c>
      <c r="B88" s="13">
        <v>0</v>
      </c>
      <c r="C88" s="14">
        <f t="shared" si="17"/>
        <v>-5</v>
      </c>
      <c r="D88" s="5">
        <v>1.4E-2</v>
      </c>
      <c r="F88" s="15">
        <f t="shared" si="15"/>
        <v>5</v>
      </c>
      <c r="G88" s="7">
        <f t="shared" si="16"/>
        <v>0.05</v>
      </c>
      <c r="H88" s="28"/>
      <c r="I88" s="24"/>
      <c r="J88" s="24"/>
      <c r="K88" s="24"/>
    </row>
    <row r="89" spans="1:11" x14ac:dyDescent="0.15">
      <c r="A89" s="13">
        <v>6</v>
      </c>
      <c r="B89" s="13">
        <v>0</v>
      </c>
      <c r="C89" s="14">
        <f t="shared" si="17"/>
        <v>-6</v>
      </c>
      <c r="D89" s="5">
        <v>1.4E-2</v>
      </c>
      <c r="F89" s="15">
        <f t="shared" si="15"/>
        <v>6</v>
      </c>
      <c r="G89" s="7">
        <f t="shared" si="16"/>
        <v>0.06</v>
      </c>
      <c r="H89" s="28"/>
      <c r="I89" s="24"/>
      <c r="J89" s="24"/>
      <c r="K89" s="24"/>
    </row>
    <row r="90" spans="1:11" x14ac:dyDescent="0.15">
      <c r="A90" s="13">
        <v>7</v>
      </c>
      <c r="B90" s="13">
        <v>0</v>
      </c>
      <c r="C90" s="14">
        <f t="shared" si="17"/>
        <v>-7</v>
      </c>
      <c r="D90" s="5">
        <v>1.4E-2</v>
      </c>
      <c r="F90" s="15">
        <f t="shared" si="15"/>
        <v>7</v>
      </c>
      <c r="G90" s="7">
        <f t="shared" si="16"/>
        <v>7.0000000000000007E-2</v>
      </c>
      <c r="H90" s="28"/>
      <c r="I90" s="24"/>
      <c r="J90" s="24"/>
      <c r="K90" s="24"/>
    </row>
    <row r="91" spans="1:11" x14ac:dyDescent="0.15">
      <c r="A91" s="13">
        <v>8</v>
      </c>
      <c r="B91" s="13">
        <v>0</v>
      </c>
      <c r="C91" s="14">
        <f t="shared" si="17"/>
        <v>-8</v>
      </c>
      <c r="D91" s="5">
        <v>1.4E-2</v>
      </c>
      <c r="F91" s="15">
        <f t="shared" si="15"/>
        <v>8</v>
      </c>
      <c r="G91" s="7">
        <f t="shared" si="16"/>
        <v>0.08</v>
      </c>
      <c r="H91" s="28"/>
      <c r="I91" s="24"/>
      <c r="J91" s="24"/>
      <c r="K91" s="24"/>
    </row>
    <row r="92" spans="1:11" x14ac:dyDescent="0.15">
      <c r="A92" s="13">
        <v>9</v>
      </c>
      <c r="B92" s="13">
        <v>0</v>
      </c>
      <c r="C92" s="14">
        <f t="shared" si="17"/>
        <v>-9</v>
      </c>
      <c r="D92" s="5">
        <v>1.4E-2</v>
      </c>
      <c r="F92" s="15">
        <f t="shared" si="15"/>
        <v>9</v>
      </c>
      <c r="G92" s="7">
        <f t="shared" si="16"/>
        <v>0.09</v>
      </c>
      <c r="H92" s="28"/>
      <c r="I92" s="24"/>
      <c r="J92" s="24"/>
      <c r="K92" s="24"/>
    </row>
    <row r="93" spans="1:11" x14ac:dyDescent="0.15">
      <c r="A93" s="13">
        <v>10</v>
      </c>
      <c r="B93" s="13">
        <v>0</v>
      </c>
      <c r="C93" s="14">
        <f t="shared" si="17"/>
        <v>-10</v>
      </c>
      <c r="D93" s="5">
        <v>1.4E-2</v>
      </c>
      <c r="F93" s="15">
        <f t="shared" si="15"/>
        <v>10</v>
      </c>
      <c r="G93" s="7">
        <f t="shared" si="16"/>
        <v>0.1</v>
      </c>
      <c r="H93" s="28"/>
      <c r="I93" s="24"/>
      <c r="J93" s="24"/>
      <c r="K93" s="24"/>
    </row>
    <row r="94" spans="1:11" x14ac:dyDescent="0.15">
      <c r="A94" s="13">
        <v>11</v>
      </c>
      <c r="B94" s="13">
        <v>0</v>
      </c>
      <c r="C94" s="14">
        <f t="shared" si="17"/>
        <v>-11</v>
      </c>
      <c r="D94" s="5">
        <v>1.4E-2</v>
      </c>
      <c r="F94" s="15">
        <f t="shared" si="15"/>
        <v>11</v>
      </c>
      <c r="G94" s="7">
        <f t="shared" si="16"/>
        <v>0.11</v>
      </c>
      <c r="H94" s="28"/>
      <c r="I94" s="24"/>
      <c r="J94" s="24"/>
      <c r="K94" s="24"/>
    </row>
    <row r="96" spans="1:11" x14ac:dyDescent="0.15">
      <c r="A96" s="17" t="s">
        <v>32</v>
      </c>
      <c r="B96" s="23" t="s">
        <v>7</v>
      </c>
      <c r="C96" s="22" t="s">
        <v>38</v>
      </c>
      <c r="D96" s="16" t="str">
        <f>$K$5</f>
        <v>psi</v>
      </c>
      <c r="F96" s="17" t="s">
        <v>32</v>
      </c>
      <c r="G96" s="6" t="str">
        <f>B96</f>
        <v>CH7</v>
      </c>
      <c r="H96" s="3"/>
      <c r="I96" s="20"/>
      <c r="J96" s="6"/>
      <c r="K96" s="6"/>
    </row>
    <row r="97" spans="1:11" ht="15" customHeight="1" x14ac:dyDescent="0.15">
      <c r="A97" s="25" t="s">
        <v>26</v>
      </c>
      <c r="B97" s="29" t="s">
        <v>30</v>
      </c>
      <c r="C97" s="29" t="s">
        <v>33</v>
      </c>
      <c r="D97" s="31" t="s">
        <v>31</v>
      </c>
      <c r="F97" s="18" t="s">
        <v>26</v>
      </c>
      <c r="G97" s="27" t="s">
        <v>36</v>
      </c>
      <c r="H97" s="25" t="s">
        <v>17</v>
      </c>
      <c r="I97" s="25" t="s">
        <v>37</v>
      </c>
      <c r="J97" s="25"/>
      <c r="K97" s="25"/>
    </row>
    <row r="98" spans="1:11" x14ac:dyDescent="0.15">
      <c r="A98" s="25"/>
      <c r="B98" s="30"/>
      <c r="C98" s="30"/>
      <c r="D98" s="25"/>
      <c r="F98" s="18" t="str">
        <f>"（"&amp;$K$5&amp;"）"</f>
        <v>（psi）</v>
      </c>
      <c r="G98" s="25"/>
      <c r="H98" s="25"/>
      <c r="I98" s="25"/>
      <c r="J98" s="25"/>
      <c r="K98" s="25"/>
    </row>
    <row r="99" spans="1:11" x14ac:dyDescent="0.15">
      <c r="A99" s="13">
        <v>1</v>
      </c>
      <c r="B99" s="13">
        <v>0</v>
      </c>
      <c r="C99" s="14">
        <f>B99-A99</f>
        <v>-1</v>
      </c>
      <c r="D99" s="5">
        <v>1.4E-2</v>
      </c>
      <c r="F99" s="15">
        <f t="shared" ref="F99:F109" si="18">A99</f>
        <v>1</v>
      </c>
      <c r="G99" s="7">
        <f t="shared" ref="G99:G109" si="19">ABS(C99)/($K$6-$I$6)</f>
        <v>0.01</v>
      </c>
      <c r="H99" s="28">
        <f>MAX(G99:G109)</f>
        <v>0.11</v>
      </c>
      <c r="I99" s="24"/>
      <c r="J99" s="24"/>
      <c r="K99" s="24"/>
    </row>
    <row r="100" spans="1:11" x14ac:dyDescent="0.15">
      <c r="A100" s="13">
        <v>2</v>
      </c>
      <c r="B100" s="13">
        <v>0</v>
      </c>
      <c r="C100" s="14">
        <f t="shared" ref="C100:C109" si="20">B100-A100</f>
        <v>-2</v>
      </c>
      <c r="D100" s="5">
        <v>1.4E-2</v>
      </c>
      <c r="F100" s="15">
        <f t="shared" si="18"/>
        <v>2</v>
      </c>
      <c r="G100" s="7">
        <f t="shared" si="19"/>
        <v>0.02</v>
      </c>
      <c r="H100" s="28"/>
      <c r="I100" s="24"/>
      <c r="J100" s="24"/>
      <c r="K100" s="24"/>
    </row>
    <row r="101" spans="1:11" x14ac:dyDescent="0.15">
      <c r="A101" s="13">
        <v>3</v>
      </c>
      <c r="B101" s="13">
        <v>0</v>
      </c>
      <c r="C101" s="14">
        <f t="shared" si="20"/>
        <v>-3</v>
      </c>
      <c r="D101" s="5">
        <v>1.4E-2</v>
      </c>
      <c r="F101" s="15">
        <f t="shared" si="18"/>
        <v>3</v>
      </c>
      <c r="G101" s="7">
        <f t="shared" si="19"/>
        <v>0.03</v>
      </c>
      <c r="H101" s="28"/>
      <c r="I101" s="24"/>
      <c r="J101" s="24"/>
      <c r="K101" s="24"/>
    </row>
    <row r="102" spans="1:11" x14ac:dyDescent="0.15">
      <c r="A102" s="13">
        <v>4</v>
      </c>
      <c r="B102" s="13">
        <v>0</v>
      </c>
      <c r="C102" s="14">
        <f t="shared" si="20"/>
        <v>-4</v>
      </c>
      <c r="D102" s="5">
        <v>1.4E-2</v>
      </c>
      <c r="F102" s="15">
        <f t="shared" si="18"/>
        <v>4</v>
      </c>
      <c r="G102" s="7">
        <f t="shared" si="19"/>
        <v>0.04</v>
      </c>
      <c r="H102" s="28"/>
      <c r="I102" s="24"/>
      <c r="J102" s="24"/>
      <c r="K102" s="24"/>
    </row>
    <row r="103" spans="1:11" x14ac:dyDescent="0.15">
      <c r="A103" s="13">
        <v>5</v>
      </c>
      <c r="B103" s="13">
        <v>0</v>
      </c>
      <c r="C103" s="14">
        <f t="shared" si="20"/>
        <v>-5</v>
      </c>
      <c r="D103" s="5">
        <v>1.4E-2</v>
      </c>
      <c r="F103" s="15">
        <f t="shared" si="18"/>
        <v>5</v>
      </c>
      <c r="G103" s="7">
        <f t="shared" si="19"/>
        <v>0.05</v>
      </c>
      <c r="H103" s="28"/>
      <c r="I103" s="24"/>
      <c r="J103" s="24"/>
      <c r="K103" s="24"/>
    </row>
    <row r="104" spans="1:11" x14ac:dyDescent="0.15">
      <c r="A104" s="13">
        <v>6</v>
      </c>
      <c r="B104" s="13">
        <v>0</v>
      </c>
      <c r="C104" s="14">
        <f t="shared" si="20"/>
        <v>-6</v>
      </c>
      <c r="D104" s="5">
        <v>1.4E-2</v>
      </c>
      <c r="F104" s="15">
        <f t="shared" si="18"/>
        <v>6</v>
      </c>
      <c r="G104" s="7">
        <f t="shared" si="19"/>
        <v>0.06</v>
      </c>
      <c r="H104" s="28"/>
      <c r="I104" s="24"/>
      <c r="J104" s="24"/>
      <c r="K104" s="24"/>
    </row>
    <row r="105" spans="1:11" x14ac:dyDescent="0.15">
      <c r="A105" s="13">
        <v>7</v>
      </c>
      <c r="B105" s="13">
        <v>0</v>
      </c>
      <c r="C105" s="14">
        <f t="shared" si="20"/>
        <v>-7</v>
      </c>
      <c r="D105" s="5">
        <v>1.4E-2</v>
      </c>
      <c r="F105" s="15">
        <f t="shared" si="18"/>
        <v>7</v>
      </c>
      <c r="G105" s="7">
        <f t="shared" si="19"/>
        <v>7.0000000000000007E-2</v>
      </c>
      <c r="H105" s="28"/>
      <c r="I105" s="24"/>
      <c r="J105" s="24"/>
      <c r="K105" s="24"/>
    </row>
    <row r="106" spans="1:11" x14ac:dyDescent="0.15">
      <c r="A106" s="13">
        <v>8</v>
      </c>
      <c r="B106" s="13">
        <v>0</v>
      </c>
      <c r="C106" s="14">
        <f t="shared" si="20"/>
        <v>-8</v>
      </c>
      <c r="D106" s="5">
        <v>1.4E-2</v>
      </c>
      <c r="F106" s="15">
        <f t="shared" si="18"/>
        <v>8</v>
      </c>
      <c r="G106" s="7">
        <f t="shared" si="19"/>
        <v>0.08</v>
      </c>
      <c r="H106" s="28"/>
      <c r="I106" s="24"/>
      <c r="J106" s="24"/>
      <c r="K106" s="24"/>
    </row>
    <row r="107" spans="1:11" x14ac:dyDescent="0.15">
      <c r="A107" s="13">
        <v>9</v>
      </c>
      <c r="B107" s="13">
        <v>0</v>
      </c>
      <c r="C107" s="14">
        <f t="shared" si="20"/>
        <v>-9</v>
      </c>
      <c r="D107" s="5">
        <v>1.4E-2</v>
      </c>
      <c r="F107" s="15">
        <f t="shared" si="18"/>
        <v>9</v>
      </c>
      <c r="G107" s="7">
        <f t="shared" si="19"/>
        <v>0.09</v>
      </c>
      <c r="H107" s="28"/>
      <c r="I107" s="24"/>
      <c r="J107" s="24"/>
      <c r="K107" s="24"/>
    </row>
    <row r="108" spans="1:11" x14ac:dyDescent="0.15">
      <c r="A108" s="13">
        <v>10</v>
      </c>
      <c r="B108" s="13">
        <v>0</v>
      </c>
      <c r="C108" s="14">
        <f t="shared" si="20"/>
        <v>-10</v>
      </c>
      <c r="D108" s="5">
        <v>1.4E-2</v>
      </c>
      <c r="F108" s="15">
        <f t="shared" si="18"/>
        <v>10</v>
      </c>
      <c r="G108" s="7">
        <f t="shared" si="19"/>
        <v>0.1</v>
      </c>
      <c r="H108" s="28"/>
      <c r="I108" s="24"/>
      <c r="J108" s="24"/>
      <c r="K108" s="24"/>
    </row>
    <row r="109" spans="1:11" x14ac:dyDescent="0.15">
      <c r="A109" s="13">
        <v>11</v>
      </c>
      <c r="B109" s="13">
        <v>0</v>
      </c>
      <c r="C109" s="14">
        <f t="shared" si="20"/>
        <v>-11</v>
      </c>
      <c r="D109" s="5">
        <v>1.4E-2</v>
      </c>
      <c r="F109" s="15">
        <f t="shared" si="18"/>
        <v>11</v>
      </c>
      <c r="G109" s="7">
        <f t="shared" si="19"/>
        <v>0.11</v>
      </c>
      <c r="H109" s="28"/>
      <c r="I109" s="24"/>
      <c r="J109" s="24"/>
      <c r="K109" s="24"/>
    </row>
    <row r="111" spans="1:11" x14ac:dyDescent="0.15">
      <c r="A111" s="17" t="s">
        <v>32</v>
      </c>
      <c r="B111" s="23" t="s">
        <v>8</v>
      </c>
      <c r="C111" s="22" t="s">
        <v>38</v>
      </c>
      <c r="D111" s="16" t="str">
        <f>$K$5</f>
        <v>psi</v>
      </c>
      <c r="F111" s="17" t="s">
        <v>32</v>
      </c>
      <c r="G111" s="6" t="str">
        <f>B111</f>
        <v>CH8</v>
      </c>
      <c r="H111" s="3"/>
      <c r="I111" s="20"/>
      <c r="J111" s="6"/>
      <c r="K111" s="6"/>
    </row>
    <row r="112" spans="1:11" ht="15" customHeight="1" x14ac:dyDescent="0.15">
      <c r="A112" s="25" t="s">
        <v>26</v>
      </c>
      <c r="B112" s="29" t="s">
        <v>30</v>
      </c>
      <c r="C112" s="29" t="s">
        <v>33</v>
      </c>
      <c r="D112" s="31" t="s">
        <v>31</v>
      </c>
      <c r="F112" s="18" t="s">
        <v>26</v>
      </c>
      <c r="G112" s="27" t="s">
        <v>36</v>
      </c>
      <c r="H112" s="25" t="s">
        <v>17</v>
      </c>
      <c r="I112" s="25" t="s">
        <v>37</v>
      </c>
      <c r="J112" s="25"/>
      <c r="K112" s="25"/>
    </row>
    <row r="113" spans="1:11" x14ac:dyDescent="0.15">
      <c r="A113" s="25"/>
      <c r="B113" s="30"/>
      <c r="C113" s="30"/>
      <c r="D113" s="25"/>
      <c r="F113" s="18" t="str">
        <f>"（"&amp;$K$5&amp;"）"</f>
        <v>（psi）</v>
      </c>
      <c r="G113" s="25"/>
      <c r="H113" s="25"/>
      <c r="I113" s="25"/>
      <c r="J113" s="25"/>
      <c r="K113" s="25"/>
    </row>
    <row r="114" spans="1:11" x14ac:dyDescent="0.15">
      <c r="A114" s="13">
        <v>1</v>
      </c>
      <c r="B114" s="13">
        <v>0</v>
      </c>
      <c r="C114" s="14">
        <f>B114-A114</f>
        <v>-1</v>
      </c>
      <c r="D114" s="5">
        <v>1.4E-2</v>
      </c>
      <c r="F114" s="15">
        <f t="shared" ref="F114:F124" si="21">A114</f>
        <v>1</v>
      </c>
      <c r="G114" s="7">
        <f t="shared" ref="G114:G124" si="22">ABS(C114)/($K$6-$I$6)</f>
        <v>0.01</v>
      </c>
      <c r="H114" s="28">
        <f>MAX(G114:G124)</f>
        <v>0.11</v>
      </c>
      <c r="I114" s="24"/>
      <c r="J114" s="24"/>
      <c r="K114" s="24"/>
    </row>
    <row r="115" spans="1:11" x14ac:dyDescent="0.15">
      <c r="A115" s="13">
        <v>2</v>
      </c>
      <c r="B115" s="13">
        <v>0</v>
      </c>
      <c r="C115" s="14">
        <f t="shared" ref="C115:C124" si="23">B115-A115</f>
        <v>-2</v>
      </c>
      <c r="D115" s="5">
        <v>1.4E-2</v>
      </c>
      <c r="F115" s="15">
        <f t="shared" si="21"/>
        <v>2</v>
      </c>
      <c r="G115" s="7">
        <f t="shared" si="22"/>
        <v>0.02</v>
      </c>
      <c r="H115" s="28"/>
      <c r="I115" s="24"/>
      <c r="J115" s="24"/>
      <c r="K115" s="24"/>
    </row>
    <row r="116" spans="1:11" x14ac:dyDescent="0.15">
      <c r="A116" s="13">
        <v>3</v>
      </c>
      <c r="B116" s="13">
        <v>0</v>
      </c>
      <c r="C116" s="14">
        <f t="shared" si="23"/>
        <v>-3</v>
      </c>
      <c r="D116" s="5">
        <v>1.4E-2</v>
      </c>
      <c r="F116" s="15">
        <f t="shared" si="21"/>
        <v>3</v>
      </c>
      <c r="G116" s="7">
        <f t="shared" si="22"/>
        <v>0.03</v>
      </c>
      <c r="H116" s="28"/>
      <c r="I116" s="24"/>
      <c r="J116" s="24"/>
      <c r="K116" s="24"/>
    </row>
    <row r="117" spans="1:11" x14ac:dyDescent="0.15">
      <c r="A117" s="13">
        <v>4</v>
      </c>
      <c r="B117" s="13">
        <v>0</v>
      </c>
      <c r="C117" s="14">
        <f t="shared" si="23"/>
        <v>-4</v>
      </c>
      <c r="D117" s="5">
        <v>1.4E-2</v>
      </c>
      <c r="F117" s="15">
        <f t="shared" si="21"/>
        <v>4</v>
      </c>
      <c r="G117" s="7">
        <f t="shared" si="22"/>
        <v>0.04</v>
      </c>
      <c r="H117" s="28"/>
      <c r="I117" s="24"/>
      <c r="J117" s="24"/>
      <c r="K117" s="24"/>
    </row>
    <row r="118" spans="1:11" x14ac:dyDescent="0.15">
      <c r="A118" s="13">
        <v>5</v>
      </c>
      <c r="B118" s="13">
        <v>0</v>
      </c>
      <c r="C118" s="14">
        <f t="shared" si="23"/>
        <v>-5</v>
      </c>
      <c r="D118" s="5">
        <v>1.4E-2</v>
      </c>
      <c r="F118" s="15">
        <f t="shared" si="21"/>
        <v>5</v>
      </c>
      <c r="G118" s="7">
        <f t="shared" si="22"/>
        <v>0.05</v>
      </c>
      <c r="H118" s="28"/>
      <c r="I118" s="24"/>
      <c r="J118" s="24"/>
      <c r="K118" s="24"/>
    </row>
    <row r="119" spans="1:11" x14ac:dyDescent="0.15">
      <c r="A119" s="13">
        <v>6</v>
      </c>
      <c r="B119" s="13">
        <v>0</v>
      </c>
      <c r="C119" s="14">
        <f t="shared" si="23"/>
        <v>-6</v>
      </c>
      <c r="D119" s="5">
        <v>1.4E-2</v>
      </c>
      <c r="F119" s="15">
        <f t="shared" si="21"/>
        <v>6</v>
      </c>
      <c r="G119" s="7">
        <f t="shared" si="22"/>
        <v>0.06</v>
      </c>
      <c r="H119" s="28"/>
      <c r="I119" s="24"/>
      <c r="J119" s="24"/>
      <c r="K119" s="24"/>
    </row>
    <row r="120" spans="1:11" x14ac:dyDescent="0.15">
      <c r="A120" s="13">
        <v>7</v>
      </c>
      <c r="B120" s="13">
        <v>0</v>
      </c>
      <c r="C120" s="14">
        <f t="shared" si="23"/>
        <v>-7</v>
      </c>
      <c r="D120" s="5">
        <v>1.4E-2</v>
      </c>
      <c r="F120" s="15">
        <f t="shared" si="21"/>
        <v>7</v>
      </c>
      <c r="G120" s="7">
        <f t="shared" si="22"/>
        <v>7.0000000000000007E-2</v>
      </c>
      <c r="H120" s="28"/>
      <c r="I120" s="24"/>
      <c r="J120" s="24"/>
      <c r="K120" s="24"/>
    </row>
    <row r="121" spans="1:11" x14ac:dyDescent="0.15">
      <c r="A121" s="13">
        <v>8</v>
      </c>
      <c r="B121" s="13">
        <v>0</v>
      </c>
      <c r="C121" s="14">
        <f t="shared" si="23"/>
        <v>-8</v>
      </c>
      <c r="D121" s="5">
        <v>1.4E-2</v>
      </c>
      <c r="F121" s="15">
        <f t="shared" si="21"/>
        <v>8</v>
      </c>
      <c r="G121" s="7">
        <f t="shared" si="22"/>
        <v>0.08</v>
      </c>
      <c r="H121" s="28"/>
      <c r="I121" s="24"/>
      <c r="J121" s="24"/>
      <c r="K121" s="24"/>
    </row>
    <row r="122" spans="1:11" x14ac:dyDescent="0.15">
      <c r="A122" s="13">
        <v>9</v>
      </c>
      <c r="B122" s="13">
        <v>0</v>
      </c>
      <c r="C122" s="14">
        <f t="shared" si="23"/>
        <v>-9</v>
      </c>
      <c r="D122" s="5">
        <v>1.4E-2</v>
      </c>
      <c r="F122" s="15">
        <f t="shared" si="21"/>
        <v>9</v>
      </c>
      <c r="G122" s="7">
        <f t="shared" si="22"/>
        <v>0.09</v>
      </c>
      <c r="H122" s="28"/>
      <c r="I122" s="24"/>
      <c r="J122" s="24"/>
      <c r="K122" s="24"/>
    </row>
    <row r="123" spans="1:11" x14ac:dyDescent="0.15">
      <c r="A123" s="13">
        <v>10</v>
      </c>
      <c r="B123" s="13">
        <v>0</v>
      </c>
      <c r="C123" s="14">
        <f t="shared" si="23"/>
        <v>-10</v>
      </c>
      <c r="D123" s="5">
        <v>1.4E-2</v>
      </c>
      <c r="F123" s="15">
        <f t="shared" si="21"/>
        <v>10</v>
      </c>
      <c r="G123" s="7">
        <f t="shared" si="22"/>
        <v>0.1</v>
      </c>
      <c r="H123" s="28"/>
      <c r="I123" s="24"/>
      <c r="J123" s="24"/>
      <c r="K123" s="24"/>
    </row>
    <row r="124" spans="1:11" x14ac:dyDescent="0.15">
      <c r="A124" s="13">
        <v>11</v>
      </c>
      <c r="B124" s="13">
        <v>0</v>
      </c>
      <c r="C124" s="14">
        <f t="shared" si="23"/>
        <v>-11</v>
      </c>
      <c r="D124" s="5">
        <v>1.4E-2</v>
      </c>
      <c r="F124" s="15">
        <f t="shared" si="21"/>
        <v>11</v>
      </c>
      <c r="G124" s="7">
        <f t="shared" si="22"/>
        <v>0.11</v>
      </c>
      <c r="H124" s="28"/>
      <c r="I124" s="24"/>
      <c r="J124" s="24"/>
      <c r="K124" s="24"/>
    </row>
    <row r="126" spans="1:11" x14ac:dyDescent="0.15">
      <c r="A126" s="17" t="s">
        <v>32</v>
      </c>
      <c r="B126" s="23" t="s">
        <v>9</v>
      </c>
      <c r="C126" s="22" t="s">
        <v>38</v>
      </c>
      <c r="D126" s="16" t="str">
        <f>$K$5</f>
        <v>psi</v>
      </c>
      <c r="F126" s="17" t="s">
        <v>32</v>
      </c>
      <c r="G126" s="6" t="str">
        <f>B126</f>
        <v>CH9</v>
      </c>
      <c r="H126" s="3"/>
      <c r="I126" s="20"/>
      <c r="J126" s="6"/>
      <c r="K126" s="6"/>
    </row>
    <row r="127" spans="1:11" ht="15" customHeight="1" x14ac:dyDescent="0.15">
      <c r="A127" s="25" t="s">
        <v>26</v>
      </c>
      <c r="B127" s="29" t="s">
        <v>30</v>
      </c>
      <c r="C127" s="29" t="s">
        <v>33</v>
      </c>
      <c r="D127" s="31" t="s">
        <v>31</v>
      </c>
      <c r="F127" s="18" t="s">
        <v>26</v>
      </c>
      <c r="G127" s="27" t="s">
        <v>36</v>
      </c>
      <c r="H127" s="25" t="s">
        <v>17</v>
      </c>
      <c r="I127" s="25" t="s">
        <v>37</v>
      </c>
      <c r="J127" s="25"/>
      <c r="K127" s="25"/>
    </row>
    <row r="128" spans="1:11" x14ac:dyDescent="0.15">
      <c r="A128" s="25"/>
      <c r="B128" s="30"/>
      <c r="C128" s="30"/>
      <c r="D128" s="25"/>
      <c r="F128" s="18" t="str">
        <f>"（"&amp;$K$5&amp;"）"</f>
        <v>（psi）</v>
      </c>
      <c r="G128" s="25"/>
      <c r="H128" s="25"/>
      <c r="I128" s="25"/>
      <c r="J128" s="25"/>
      <c r="K128" s="25"/>
    </row>
    <row r="129" spans="1:11" x14ac:dyDescent="0.15">
      <c r="A129" s="13">
        <v>1</v>
      </c>
      <c r="B129" s="13">
        <v>0</v>
      </c>
      <c r="C129" s="14">
        <f>B129-A129</f>
        <v>-1</v>
      </c>
      <c r="D129" s="5">
        <v>1.4E-2</v>
      </c>
      <c r="F129" s="15">
        <f t="shared" ref="F129:F139" si="24">A129</f>
        <v>1</v>
      </c>
      <c r="G129" s="7">
        <f t="shared" ref="G129:G139" si="25">ABS(C129)/($K$6-$I$6)</f>
        <v>0.01</v>
      </c>
      <c r="H129" s="28">
        <f>MAX(G129:G139)</f>
        <v>0.11</v>
      </c>
      <c r="I129" s="24"/>
      <c r="J129" s="24"/>
      <c r="K129" s="24"/>
    </row>
    <row r="130" spans="1:11" x14ac:dyDescent="0.15">
      <c r="A130" s="13">
        <v>2</v>
      </c>
      <c r="B130" s="13">
        <v>0</v>
      </c>
      <c r="C130" s="14">
        <f t="shared" ref="C130:C139" si="26">B130-A130</f>
        <v>-2</v>
      </c>
      <c r="D130" s="5">
        <v>1.4E-2</v>
      </c>
      <c r="F130" s="15">
        <f t="shared" si="24"/>
        <v>2</v>
      </c>
      <c r="G130" s="7">
        <f t="shared" si="25"/>
        <v>0.02</v>
      </c>
      <c r="H130" s="28"/>
      <c r="I130" s="24"/>
      <c r="J130" s="24"/>
      <c r="K130" s="24"/>
    </row>
    <row r="131" spans="1:11" x14ac:dyDescent="0.15">
      <c r="A131" s="13">
        <v>3</v>
      </c>
      <c r="B131" s="13">
        <v>0</v>
      </c>
      <c r="C131" s="14">
        <f t="shared" si="26"/>
        <v>-3</v>
      </c>
      <c r="D131" s="5">
        <v>1.4E-2</v>
      </c>
      <c r="F131" s="15">
        <f t="shared" si="24"/>
        <v>3</v>
      </c>
      <c r="G131" s="7">
        <f t="shared" si="25"/>
        <v>0.03</v>
      </c>
      <c r="H131" s="28"/>
      <c r="I131" s="24"/>
      <c r="J131" s="24"/>
      <c r="K131" s="24"/>
    </row>
    <row r="132" spans="1:11" x14ac:dyDescent="0.15">
      <c r="A132" s="13">
        <v>4</v>
      </c>
      <c r="B132" s="13">
        <v>0</v>
      </c>
      <c r="C132" s="14">
        <f t="shared" si="26"/>
        <v>-4</v>
      </c>
      <c r="D132" s="5">
        <v>1.4E-2</v>
      </c>
      <c r="F132" s="15">
        <f t="shared" si="24"/>
        <v>4</v>
      </c>
      <c r="G132" s="7">
        <f t="shared" si="25"/>
        <v>0.04</v>
      </c>
      <c r="H132" s="28"/>
      <c r="I132" s="24"/>
      <c r="J132" s="24"/>
      <c r="K132" s="24"/>
    </row>
    <row r="133" spans="1:11" x14ac:dyDescent="0.15">
      <c r="A133" s="13">
        <v>5</v>
      </c>
      <c r="B133" s="13">
        <v>0</v>
      </c>
      <c r="C133" s="14">
        <f t="shared" si="26"/>
        <v>-5</v>
      </c>
      <c r="D133" s="5">
        <v>1.4E-2</v>
      </c>
      <c r="F133" s="15">
        <f t="shared" si="24"/>
        <v>5</v>
      </c>
      <c r="G133" s="7">
        <f t="shared" si="25"/>
        <v>0.05</v>
      </c>
      <c r="H133" s="28"/>
      <c r="I133" s="24"/>
      <c r="J133" s="24"/>
      <c r="K133" s="24"/>
    </row>
    <row r="134" spans="1:11" x14ac:dyDescent="0.15">
      <c r="A134" s="13">
        <v>6</v>
      </c>
      <c r="B134" s="13">
        <v>0</v>
      </c>
      <c r="C134" s="14">
        <f t="shared" si="26"/>
        <v>-6</v>
      </c>
      <c r="D134" s="5">
        <v>1.4E-2</v>
      </c>
      <c r="F134" s="15">
        <f t="shared" si="24"/>
        <v>6</v>
      </c>
      <c r="G134" s="7">
        <f t="shared" si="25"/>
        <v>0.06</v>
      </c>
      <c r="H134" s="28"/>
      <c r="I134" s="24"/>
      <c r="J134" s="24"/>
      <c r="K134" s="24"/>
    </row>
    <row r="135" spans="1:11" x14ac:dyDescent="0.15">
      <c r="A135" s="13">
        <v>7</v>
      </c>
      <c r="B135" s="13">
        <v>0</v>
      </c>
      <c r="C135" s="14">
        <f t="shared" si="26"/>
        <v>-7</v>
      </c>
      <c r="D135" s="5">
        <v>1.4E-2</v>
      </c>
      <c r="F135" s="15">
        <f t="shared" si="24"/>
        <v>7</v>
      </c>
      <c r="G135" s="7">
        <f t="shared" si="25"/>
        <v>7.0000000000000007E-2</v>
      </c>
      <c r="H135" s="28"/>
      <c r="I135" s="24"/>
      <c r="J135" s="24"/>
      <c r="K135" s="24"/>
    </row>
    <row r="136" spans="1:11" x14ac:dyDescent="0.15">
      <c r="A136" s="13">
        <v>8</v>
      </c>
      <c r="B136" s="13">
        <v>0</v>
      </c>
      <c r="C136" s="14">
        <f t="shared" si="26"/>
        <v>-8</v>
      </c>
      <c r="D136" s="5">
        <v>1.4E-2</v>
      </c>
      <c r="F136" s="15">
        <f t="shared" si="24"/>
        <v>8</v>
      </c>
      <c r="G136" s="7">
        <f t="shared" si="25"/>
        <v>0.08</v>
      </c>
      <c r="H136" s="28"/>
      <c r="I136" s="24"/>
      <c r="J136" s="24"/>
      <c r="K136" s="24"/>
    </row>
    <row r="137" spans="1:11" x14ac:dyDescent="0.15">
      <c r="A137" s="13">
        <v>9</v>
      </c>
      <c r="B137" s="13">
        <v>0</v>
      </c>
      <c r="C137" s="14">
        <f t="shared" si="26"/>
        <v>-9</v>
      </c>
      <c r="D137" s="5">
        <v>1.4E-2</v>
      </c>
      <c r="F137" s="15">
        <f t="shared" si="24"/>
        <v>9</v>
      </c>
      <c r="G137" s="7">
        <f t="shared" si="25"/>
        <v>0.09</v>
      </c>
      <c r="H137" s="28"/>
      <c r="I137" s="24"/>
      <c r="J137" s="24"/>
      <c r="K137" s="24"/>
    </row>
    <row r="138" spans="1:11" x14ac:dyDescent="0.15">
      <c r="A138" s="13">
        <v>10</v>
      </c>
      <c r="B138" s="13">
        <v>0</v>
      </c>
      <c r="C138" s="14">
        <f t="shared" si="26"/>
        <v>-10</v>
      </c>
      <c r="D138" s="5">
        <v>1.4E-2</v>
      </c>
      <c r="F138" s="15">
        <f t="shared" si="24"/>
        <v>10</v>
      </c>
      <c r="G138" s="7">
        <f t="shared" si="25"/>
        <v>0.1</v>
      </c>
      <c r="H138" s="28"/>
      <c r="I138" s="24"/>
      <c r="J138" s="24"/>
      <c r="K138" s="24"/>
    </row>
    <row r="139" spans="1:11" x14ac:dyDescent="0.15">
      <c r="A139" s="13">
        <v>11</v>
      </c>
      <c r="B139" s="13">
        <v>0</v>
      </c>
      <c r="C139" s="14">
        <f t="shared" si="26"/>
        <v>-11</v>
      </c>
      <c r="D139" s="5">
        <v>1.4E-2</v>
      </c>
      <c r="F139" s="15">
        <f t="shared" si="24"/>
        <v>11</v>
      </c>
      <c r="G139" s="7">
        <f t="shared" si="25"/>
        <v>0.11</v>
      </c>
      <c r="H139" s="28"/>
      <c r="I139" s="24"/>
      <c r="J139" s="24"/>
      <c r="K139" s="24"/>
    </row>
    <row r="141" spans="1:11" x14ac:dyDescent="0.15">
      <c r="A141" s="17" t="s">
        <v>32</v>
      </c>
      <c r="B141" s="23" t="s">
        <v>10</v>
      </c>
      <c r="C141" s="22" t="s">
        <v>38</v>
      </c>
      <c r="D141" s="16" t="str">
        <f>$K$5</f>
        <v>psi</v>
      </c>
      <c r="F141" s="17" t="s">
        <v>32</v>
      </c>
      <c r="G141" s="6" t="str">
        <f>B141</f>
        <v>CH10</v>
      </c>
      <c r="H141" s="3"/>
      <c r="I141" s="20"/>
      <c r="J141" s="6"/>
      <c r="K141" s="6"/>
    </row>
    <row r="142" spans="1:11" ht="15" customHeight="1" x14ac:dyDescent="0.15">
      <c r="A142" s="25" t="s">
        <v>26</v>
      </c>
      <c r="B142" s="29" t="s">
        <v>30</v>
      </c>
      <c r="C142" s="29" t="s">
        <v>33</v>
      </c>
      <c r="D142" s="31" t="s">
        <v>31</v>
      </c>
      <c r="F142" s="18" t="s">
        <v>26</v>
      </c>
      <c r="G142" s="27" t="s">
        <v>36</v>
      </c>
      <c r="H142" s="25" t="s">
        <v>17</v>
      </c>
      <c r="I142" s="25" t="s">
        <v>37</v>
      </c>
      <c r="J142" s="25"/>
      <c r="K142" s="25"/>
    </row>
    <row r="143" spans="1:11" x14ac:dyDescent="0.15">
      <c r="A143" s="25"/>
      <c r="B143" s="30"/>
      <c r="C143" s="30"/>
      <c r="D143" s="25"/>
      <c r="F143" s="18" t="str">
        <f>"（"&amp;$K$5&amp;"）"</f>
        <v>（psi）</v>
      </c>
      <c r="G143" s="25"/>
      <c r="H143" s="25"/>
      <c r="I143" s="25"/>
      <c r="J143" s="25"/>
      <c r="K143" s="25"/>
    </row>
    <row r="144" spans="1:11" x14ac:dyDescent="0.15">
      <c r="A144" s="13">
        <v>1</v>
      </c>
      <c r="B144" s="13">
        <v>0</v>
      </c>
      <c r="C144" s="14">
        <f>B144-A144</f>
        <v>-1</v>
      </c>
      <c r="D144" s="5">
        <v>1.4E-2</v>
      </c>
      <c r="F144" s="15">
        <f t="shared" ref="F144:F154" si="27">A144</f>
        <v>1</v>
      </c>
      <c r="G144" s="7">
        <f t="shared" ref="G144:G154" si="28">ABS(C144)/($K$6-$I$6)</f>
        <v>0.01</v>
      </c>
      <c r="H144" s="28">
        <f>MAX(G144:G154)</f>
        <v>0.11</v>
      </c>
      <c r="I144" s="24"/>
      <c r="J144" s="24"/>
      <c r="K144" s="24"/>
    </row>
    <row r="145" spans="1:11" x14ac:dyDescent="0.15">
      <c r="A145" s="13">
        <v>2</v>
      </c>
      <c r="B145" s="13">
        <v>0</v>
      </c>
      <c r="C145" s="14">
        <f t="shared" ref="C145:C154" si="29">B145-A145</f>
        <v>-2</v>
      </c>
      <c r="D145" s="5">
        <v>1.4E-2</v>
      </c>
      <c r="F145" s="15">
        <f t="shared" si="27"/>
        <v>2</v>
      </c>
      <c r="G145" s="7">
        <f t="shared" si="28"/>
        <v>0.02</v>
      </c>
      <c r="H145" s="28"/>
      <c r="I145" s="24"/>
      <c r="J145" s="24"/>
      <c r="K145" s="24"/>
    </row>
    <row r="146" spans="1:11" x14ac:dyDescent="0.15">
      <c r="A146" s="13">
        <v>3</v>
      </c>
      <c r="B146" s="13">
        <v>0</v>
      </c>
      <c r="C146" s="14">
        <f t="shared" si="29"/>
        <v>-3</v>
      </c>
      <c r="D146" s="5">
        <v>1.4E-2</v>
      </c>
      <c r="F146" s="15">
        <f t="shared" si="27"/>
        <v>3</v>
      </c>
      <c r="G146" s="7">
        <f t="shared" si="28"/>
        <v>0.03</v>
      </c>
      <c r="H146" s="28"/>
      <c r="I146" s="24"/>
      <c r="J146" s="24"/>
      <c r="K146" s="24"/>
    </row>
    <row r="147" spans="1:11" x14ac:dyDescent="0.15">
      <c r="A147" s="13">
        <v>4</v>
      </c>
      <c r="B147" s="13">
        <v>0</v>
      </c>
      <c r="C147" s="14">
        <f t="shared" si="29"/>
        <v>-4</v>
      </c>
      <c r="D147" s="5">
        <v>1.4E-2</v>
      </c>
      <c r="F147" s="15">
        <f t="shared" si="27"/>
        <v>4</v>
      </c>
      <c r="G147" s="7">
        <f t="shared" si="28"/>
        <v>0.04</v>
      </c>
      <c r="H147" s="28"/>
      <c r="I147" s="24"/>
      <c r="J147" s="24"/>
      <c r="K147" s="24"/>
    </row>
    <row r="148" spans="1:11" x14ac:dyDescent="0.15">
      <c r="A148" s="13">
        <v>5</v>
      </c>
      <c r="B148" s="13">
        <v>0</v>
      </c>
      <c r="C148" s="14">
        <f t="shared" si="29"/>
        <v>-5</v>
      </c>
      <c r="D148" s="5">
        <v>1.4E-2</v>
      </c>
      <c r="F148" s="15">
        <f t="shared" si="27"/>
        <v>5</v>
      </c>
      <c r="G148" s="7">
        <f t="shared" si="28"/>
        <v>0.05</v>
      </c>
      <c r="H148" s="28"/>
      <c r="I148" s="24"/>
      <c r="J148" s="24"/>
      <c r="K148" s="24"/>
    </row>
    <row r="149" spans="1:11" x14ac:dyDescent="0.15">
      <c r="A149" s="13">
        <v>6</v>
      </c>
      <c r="B149" s="13">
        <v>0</v>
      </c>
      <c r="C149" s="14">
        <f t="shared" si="29"/>
        <v>-6</v>
      </c>
      <c r="D149" s="5">
        <v>1.4E-2</v>
      </c>
      <c r="F149" s="15">
        <f t="shared" si="27"/>
        <v>6</v>
      </c>
      <c r="G149" s="7">
        <f t="shared" si="28"/>
        <v>0.06</v>
      </c>
      <c r="H149" s="28"/>
      <c r="I149" s="24"/>
      <c r="J149" s="24"/>
      <c r="K149" s="24"/>
    </row>
    <row r="150" spans="1:11" x14ac:dyDescent="0.15">
      <c r="A150" s="13">
        <v>7</v>
      </c>
      <c r="B150" s="13">
        <v>0</v>
      </c>
      <c r="C150" s="14">
        <f t="shared" si="29"/>
        <v>-7</v>
      </c>
      <c r="D150" s="5">
        <v>1.4E-2</v>
      </c>
      <c r="F150" s="15">
        <f t="shared" si="27"/>
        <v>7</v>
      </c>
      <c r="G150" s="7">
        <f t="shared" si="28"/>
        <v>7.0000000000000007E-2</v>
      </c>
      <c r="H150" s="28"/>
      <c r="I150" s="24"/>
      <c r="J150" s="24"/>
      <c r="K150" s="24"/>
    </row>
    <row r="151" spans="1:11" x14ac:dyDescent="0.15">
      <c r="A151" s="13">
        <v>8</v>
      </c>
      <c r="B151" s="13">
        <v>0</v>
      </c>
      <c r="C151" s="14">
        <f t="shared" si="29"/>
        <v>-8</v>
      </c>
      <c r="D151" s="5">
        <v>1.4E-2</v>
      </c>
      <c r="F151" s="15">
        <f t="shared" si="27"/>
        <v>8</v>
      </c>
      <c r="G151" s="7">
        <f t="shared" si="28"/>
        <v>0.08</v>
      </c>
      <c r="H151" s="28"/>
      <c r="I151" s="24"/>
      <c r="J151" s="24"/>
      <c r="K151" s="24"/>
    </row>
    <row r="152" spans="1:11" x14ac:dyDescent="0.15">
      <c r="A152" s="13">
        <v>9</v>
      </c>
      <c r="B152" s="13">
        <v>0</v>
      </c>
      <c r="C152" s="14">
        <f t="shared" si="29"/>
        <v>-9</v>
      </c>
      <c r="D152" s="5">
        <v>1.4E-2</v>
      </c>
      <c r="F152" s="15">
        <f t="shared" si="27"/>
        <v>9</v>
      </c>
      <c r="G152" s="7">
        <f t="shared" si="28"/>
        <v>0.09</v>
      </c>
      <c r="H152" s="28"/>
      <c r="I152" s="24"/>
      <c r="J152" s="24"/>
      <c r="K152" s="24"/>
    </row>
    <row r="153" spans="1:11" x14ac:dyDescent="0.15">
      <c r="A153" s="13">
        <v>10</v>
      </c>
      <c r="B153" s="13">
        <v>0</v>
      </c>
      <c r="C153" s="14">
        <f t="shared" si="29"/>
        <v>-10</v>
      </c>
      <c r="D153" s="5">
        <v>1.4E-2</v>
      </c>
      <c r="F153" s="15">
        <f t="shared" si="27"/>
        <v>10</v>
      </c>
      <c r="G153" s="7">
        <f t="shared" si="28"/>
        <v>0.1</v>
      </c>
      <c r="H153" s="28"/>
      <c r="I153" s="24"/>
      <c r="J153" s="24"/>
      <c r="K153" s="24"/>
    </row>
    <row r="154" spans="1:11" x14ac:dyDescent="0.15">
      <c r="A154" s="13">
        <v>11</v>
      </c>
      <c r="B154" s="13">
        <v>0</v>
      </c>
      <c r="C154" s="14">
        <f t="shared" si="29"/>
        <v>-11</v>
      </c>
      <c r="D154" s="5">
        <v>1.4E-2</v>
      </c>
      <c r="F154" s="15">
        <f t="shared" si="27"/>
        <v>11</v>
      </c>
      <c r="G154" s="7">
        <f t="shared" si="28"/>
        <v>0.11</v>
      </c>
      <c r="H154" s="28"/>
      <c r="I154" s="24"/>
      <c r="J154" s="24"/>
      <c r="K154" s="24"/>
    </row>
    <row r="156" spans="1:11" x14ac:dyDescent="0.15">
      <c r="A156" s="17" t="s">
        <v>32</v>
      </c>
      <c r="B156" s="23" t="s">
        <v>11</v>
      </c>
      <c r="C156" s="22" t="s">
        <v>38</v>
      </c>
      <c r="D156" s="16" t="str">
        <f>$K$5</f>
        <v>psi</v>
      </c>
      <c r="F156" s="17" t="s">
        <v>32</v>
      </c>
      <c r="G156" s="6" t="str">
        <f>B156</f>
        <v>CH11</v>
      </c>
      <c r="H156" s="3"/>
      <c r="I156" s="20"/>
      <c r="J156" s="6"/>
      <c r="K156" s="6"/>
    </row>
    <row r="157" spans="1:11" ht="15" customHeight="1" x14ac:dyDescent="0.15">
      <c r="A157" s="25" t="s">
        <v>26</v>
      </c>
      <c r="B157" s="29" t="s">
        <v>30</v>
      </c>
      <c r="C157" s="29" t="s">
        <v>33</v>
      </c>
      <c r="D157" s="31" t="s">
        <v>31</v>
      </c>
      <c r="F157" s="18" t="s">
        <v>26</v>
      </c>
      <c r="G157" s="27" t="s">
        <v>36</v>
      </c>
      <c r="H157" s="25" t="s">
        <v>17</v>
      </c>
      <c r="I157" s="25" t="s">
        <v>37</v>
      </c>
      <c r="J157" s="25"/>
      <c r="K157" s="25"/>
    </row>
    <row r="158" spans="1:11" x14ac:dyDescent="0.15">
      <c r="A158" s="25"/>
      <c r="B158" s="30"/>
      <c r="C158" s="30"/>
      <c r="D158" s="25"/>
      <c r="F158" s="18" t="str">
        <f>"（"&amp;$K$5&amp;"）"</f>
        <v>（psi）</v>
      </c>
      <c r="G158" s="25"/>
      <c r="H158" s="25"/>
      <c r="I158" s="25"/>
      <c r="J158" s="25"/>
      <c r="K158" s="25"/>
    </row>
    <row r="159" spans="1:11" x14ac:dyDescent="0.15">
      <c r="A159" s="13">
        <v>1</v>
      </c>
      <c r="B159" s="13">
        <v>0</v>
      </c>
      <c r="C159" s="14">
        <f>B159-A159</f>
        <v>-1</v>
      </c>
      <c r="D159" s="5">
        <v>1.4E-2</v>
      </c>
      <c r="F159" s="15">
        <f t="shared" ref="F159:F169" si="30">A159</f>
        <v>1</v>
      </c>
      <c r="G159" s="7">
        <f t="shared" ref="G159:G169" si="31">ABS(C159)/($K$6-$I$6)</f>
        <v>0.01</v>
      </c>
      <c r="H159" s="28">
        <f>MAX(G159:G169)</f>
        <v>0.11</v>
      </c>
      <c r="I159" s="24"/>
      <c r="J159" s="24"/>
      <c r="K159" s="24"/>
    </row>
    <row r="160" spans="1:11" x14ac:dyDescent="0.15">
      <c r="A160" s="13">
        <v>2</v>
      </c>
      <c r="B160" s="13">
        <v>0</v>
      </c>
      <c r="C160" s="14">
        <f t="shared" ref="C160:C169" si="32">B160-A160</f>
        <v>-2</v>
      </c>
      <c r="D160" s="5">
        <v>1.4E-2</v>
      </c>
      <c r="F160" s="15">
        <f t="shared" si="30"/>
        <v>2</v>
      </c>
      <c r="G160" s="7">
        <f t="shared" si="31"/>
        <v>0.02</v>
      </c>
      <c r="H160" s="28"/>
      <c r="I160" s="24"/>
      <c r="J160" s="24"/>
      <c r="K160" s="24"/>
    </row>
    <row r="161" spans="1:11" x14ac:dyDescent="0.15">
      <c r="A161" s="13">
        <v>3</v>
      </c>
      <c r="B161" s="13">
        <v>0</v>
      </c>
      <c r="C161" s="14">
        <f t="shared" si="32"/>
        <v>-3</v>
      </c>
      <c r="D161" s="5">
        <v>1.4E-2</v>
      </c>
      <c r="F161" s="15">
        <f t="shared" si="30"/>
        <v>3</v>
      </c>
      <c r="G161" s="7">
        <f t="shared" si="31"/>
        <v>0.03</v>
      </c>
      <c r="H161" s="28"/>
      <c r="I161" s="24"/>
      <c r="J161" s="24"/>
      <c r="K161" s="24"/>
    </row>
    <row r="162" spans="1:11" x14ac:dyDescent="0.15">
      <c r="A162" s="13">
        <v>4</v>
      </c>
      <c r="B162" s="13">
        <v>0</v>
      </c>
      <c r="C162" s="14">
        <f t="shared" si="32"/>
        <v>-4</v>
      </c>
      <c r="D162" s="5">
        <v>1.4E-2</v>
      </c>
      <c r="F162" s="15">
        <f t="shared" si="30"/>
        <v>4</v>
      </c>
      <c r="G162" s="7">
        <f t="shared" si="31"/>
        <v>0.04</v>
      </c>
      <c r="H162" s="28"/>
      <c r="I162" s="24"/>
      <c r="J162" s="24"/>
      <c r="K162" s="24"/>
    </row>
    <row r="163" spans="1:11" x14ac:dyDescent="0.15">
      <c r="A163" s="13">
        <v>5</v>
      </c>
      <c r="B163" s="13">
        <v>0</v>
      </c>
      <c r="C163" s="14">
        <f t="shared" si="32"/>
        <v>-5</v>
      </c>
      <c r="D163" s="5">
        <v>1.4E-2</v>
      </c>
      <c r="F163" s="15">
        <f t="shared" si="30"/>
        <v>5</v>
      </c>
      <c r="G163" s="7">
        <f t="shared" si="31"/>
        <v>0.05</v>
      </c>
      <c r="H163" s="28"/>
      <c r="I163" s="24"/>
      <c r="J163" s="24"/>
      <c r="K163" s="24"/>
    </row>
    <row r="164" spans="1:11" x14ac:dyDescent="0.15">
      <c r="A164" s="13">
        <v>6</v>
      </c>
      <c r="B164" s="13">
        <v>0</v>
      </c>
      <c r="C164" s="14">
        <f t="shared" si="32"/>
        <v>-6</v>
      </c>
      <c r="D164" s="5">
        <v>1.4E-2</v>
      </c>
      <c r="F164" s="15">
        <f t="shared" si="30"/>
        <v>6</v>
      </c>
      <c r="G164" s="7">
        <f t="shared" si="31"/>
        <v>0.06</v>
      </c>
      <c r="H164" s="28"/>
      <c r="I164" s="24"/>
      <c r="J164" s="24"/>
      <c r="K164" s="24"/>
    </row>
    <row r="165" spans="1:11" x14ac:dyDescent="0.15">
      <c r="A165" s="13">
        <v>7</v>
      </c>
      <c r="B165" s="13">
        <v>0</v>
      </c>
      <c r="C165" s="14">
        <f t="shared" si="32"/>
        <v>-7</v>
      </c>
      <c r="D165" s="5">
        <v>1.4E-2</v>
      </c>
      <c r="F165" s="15">
        <f t="shared" si="30"/>
        <v>7</v>
      </c>
      <c r="G165" s="7">
        <f t="shared" si="31"/>
        <v>7.0000000000000007E-2</v>
      </c>
      <c r="H165" s="28"/>
      <c r="I165" s="24"/>
      <c r="J165" s="24"/>
      <c r="K165" s="24"/>
    </row>
    <row r="166" spans="1:11" x14ac:dyDescent="0.15">
      <c r="A166" s="13">
        <v>8</v>
      </c>
      <c r="B166" s="13">
        <v>0</v>
      </c>
      <c r="C166" s="14">
        <f t="shared" si="32"/>
        <v>-8</v>
      </c>
      <c r="D166" s="5">
        <v>1.4E-2</v>
      </c>
      <c r="F166" s="15">
        <f t="shared" si="30"/>
        <v>8</v>
      </c>
      <c r="G166" s="7">
        <f t="shared" si="31"/>
        <v>0.08</v>
      </c>
      <c r="H166" s="28"/>
      <c r="I166" s="24"/>
      <c r="J166" s="24"/>
      <c r="K166" s="24"/>
    </row>
    <row r="167" spans="1:11" x14ac:dyDescent="0.15">
      <c r="A167" s="13">
        <v>9</v>
      </c>
      <c r="B167" s="13">
        <v>0</v>
      </c>
      <c r="C167" s="14">
        <f t="shared" si="32"/>
        <v>-9</v>
      </c>
      <c r="D167" s="5">
        <v>1.4E-2</v>
      </c>
      <c r="F167" s="15">
        <f t="shared" si="30"/>
        <v>9</v>
      </c>
      <c r="G167" s="7">
        <f t="shared" si="31"/>
        <v>0.09</v>
      </c>
      <c r="H167" s="28"/>
      <c r="I167" s="24"/>
      <c r="J167" s="24"/>
      <c r="K167" s="24"/>
    </row>
    <row r="168" spans="1:11" x14ac:dyDescent="0.15">
      <c r="A168" s="13">
        <v>10</v>
      </c>
      <c r="B168" s="13">
        <v>0</v>
      </c>
      <c r="C168" s="14">
        <f t="shared" si="32"/>
        <v>-10</v>
      </c>
      <c r="D168" s="5">
        <v>1.4E-2</v>
      </c>
      <c r="F168" s="15">
        <f t="shared" si="30"/>
        <v>10</v>
      </c>
      <c r="G168" s="7">
        <f t="shared" si="31"/>
        <v>0.1</v>
      </c>
      <c r="H168" s="28"/>
      <c r="I168" s="24"/>
      <c r="J168" s="24"/>
      <c r="K168" s="24"/>
    </row>
    <row r="169" spans="1:11" x14ac:dyDescent="0.15">
      <c r="A169" s="13">
        <v>11</v>
      </c>
      <c r="B169" s="13">
        <v>0</v>
      </c>
      <c r="C169" s="14">
        <f t="shared" si="32"/>
        <v>-11</v>
      </c>
      <c r="D169" s="5">
        <v>1.4E-2</v>
      </c>
      <c r="F169" s="15">
        <f t="shared" si="30"/>
        <v>11</v>
      </c>
      <c r="G169" s="7">
        <f t="shared" si="31"/>
        <v>0.11</v>
      </c>
      <c r="H169" s="28"/>
      <c r="I169" s="24"/>
      <c r="J169" s="24"/>
      <c r="K169" s="24"/>
    </row>
    <row r="171" spans="1:11" x14ac:dyDescent="0.15">
      <c r="A171" s="17" t="s">
        <v>32</v>
      </c>
      <c r="B171" s="23" t="s">
        <v>12</v>
      </c>
      <c r="C171" s="22" t="s">
        <v>38</v>
      </c>
      <c r="D171" s="16" t="str">
        <f>$K$5</f>
        <v>psi</v>
      </c>
      <c r="F171" s="17" t="s">
        <v>32</v>
      </c>
      <c r="G171" s="6" t="str">
        <f>B171</f>
        <v>CH12</v>
      </c>
      <c r="H171" s="3"/>
      <c r="I171" s="20"/>
      <c r="J171" s="6"/>
      <c r="K171" s="6"/>
    </row>
    <row r="172" spans="1:11" ht="15" customHeight="1" x14ac:dyDescent="0.15">
      <c r="A172" s="25" t="s">
        <v>26</v>
      </c>
      <c r="B172" s="29" t="s">
        <v>30</v>
      </c>
      <c r="C172" s="29" t="s">
        <v>33</v>
      </c>
      <c r="D172" s="31" t="s">
        <v>31</v>
      </c>
      <c r="F172" s="18" t="s">
        <v>26</v>
      </c>
      <c r="G172" s="27" t="s">
        <v>36</v>
      </c>
      <c r="H172" s="25" t="s">
        <v>17</v>
      </c>
      <c r="I172" s="25" t="s">
        <v>37</v>
      </c>
      <c r="J172" s="25"/>
      <c r="K172" s="25"/>
    </row>
    <row r="173" spans="1:11" x14ac:dyDescent="0.15">
      <c r="A173" s="25"/>
      <c r="B173" s="30"/>
      <c r="C173" s="30"/>
      <c r="D173" s="25"/>
      <c r="F173" s="18" t="str">
        <f>"（"&amp;$K$5&amp;"）"</f>
        <v>（psi）</v>
      </c>
      <c r="G173" s="25"/>
      <c r="H173" s="25"/>
      <c r="I173" s="25"/>
      <c r="J173" s="25"/>
      <c r="K173" s="25"/>
    </row>
    <row r="174" spans="1:11" x14ac:dyDescent="0.15">
      <c r="A174" s="13">
        <v>1</v>
      </c>
      <c r="B174" s="13">
        <v>0</v>
      </c>
      <c r="C174" s="14">
        <f>B174-A174</f>
        <v>-1</v>
      </c>
      <c r="D174" s="5">
        <v>1.4E-2</v>
      </c>
      <c r="F174" s="15">
        <f t="shared" ref="F174:F184" si="33">A174</f>
        <v>1</v>
      </c>
      <c r="G174" s="7">
        <f t="shared" ref="G174:G184" si="34">ABS(C174)/($K$6-$I$6)</f>
        <v>0.01</v>
      </c>
      <c r="H174" s="28">
        <f>MAX(G174:G184)</f>
        <v>0.11</v>
      </c>
      <c r="I174" s="24"/>
      <c r="J174" s="24"/>
      <c r="K174" s="24"/>
    </row>
    <row r="175" spans="1:11" x14ac:dyDescent="0.15">
      <c r="A175" s="13">
        <v>2</v>
      </c>
      <c r="B175" s="13">
        <v>0</v>
      </c>
      <c r="C175" s="14">
        <f t="shared" ref="C175:C184" si="35">B175-A175</f>
        <v>-2</v>
      </c>
      <c r="D175" s="5">
        <v>1.4E-2</v>
      </c>
      <c r="F175" s="15">
        <f t="shared" si="33"/>
        <v>2</v>
      </c>
      <c r="G175" s="7">
        <f t="shared" si="34"/>
        <v>0.02</v>
      </c>
      <c r="H175" s="28"/>
      <c r="I175" s="24"/>
      <c r="J175" s="24"/>
      <c r="K175" s="24"/>
    </row>
    <row r="176" spans="1:11" x14ac:dyDescent="0.15">
      <c r="A176" s="13">
        <v>3</v>
      </c>
      <c r="B176" s="13">
        <v>0</v>
      </c>
      <c r="C176" s="14">
        <f t="shared" si="35"/>
        <v>-3</v>
      </c>
      <c r="D176" s="5">
        <v>1.4E-2</v>
      </c>
      <c r="F176" s="15">
        <f t="shared" si="33"/>
        <v>3</v>
      </c>
      <c r="G176" s="7">
        <f t="shared" si="34"/>
        <v>0.03</v>
      </c>
      <c r="H176" s="28"/>
      <c r="I176" s="24"/>
      <c r="J176" s="24"/>
      <c r="K176" s="24"/>
    </row>
    <row r="177" spans="1:11" x14ac:dyDescent="0.15">
      <c r="A177" s="13">
        <v>4</v>
      </c>
      <c r="B177" s="13">
        <v>0</v>
      </c>
      <c r="C177" s="14">
        <f t="shared" si="35"/>
        <v>-4</v>
      </c>
      <c r="D177" s="5">
        <v>1.4E-2</v>
      </c>
      <c r="F177" s="15">
        <f t="shared" si="33"/>
        <v>4</v>
      </c>
      <c r="G177" s="7">
        <f t="shared" si="34"/>
        <v>0.04</v>
      </c>
      <c r="H177" s="28"/>
      <c r="I177" s="24"/>
      <c r="J177" s="24"/>
      <c r="K177" s="24"/>
    </row>
    <row r="178" spans="1:11" x14ac:dyDescent="0.15">
      <c r="A178" s="13">
        <v>5</v>
      </c>
      <c r="B178" s="13">
        <v>0</v>
      </c>
      <c r="C178" s="14">
        <f t="shared" si="35"/>
        <v>-5</v>
      </c>
      <c r="D178" s="5">
        <v>1.4E-2</v>
      </c>
      <c r="F178" s="15">
        <f t="shared" si="33"/>
        <v>5</v>
      </c>
      <c r="G178" s="7">
        <f t="shared" si="34"/>
        <v>0.05</v>
      </c>
      <c r="H178" s="28"/>
      <c r="I178" s="24"/>
      <c r="J178" s="24"/>
      <c r="K178" s="24"/>
    </row>
    <row r="179" spans="1:11" x14ac:dyDescent="0.15">
      <c r="A179" s="13">
        <v>6</v>
      </c>
      <c r="B179" s="13">
        <v>0</v>
      </c>
      <c r="C179" s="14">
        <f t="shared" si="35"/>
        <v>-6</v>
      </c>
      <c r="D179" s="5">
        <v>1.4E-2</v>
      </c>
      <c r="F179" s="15">
        <f t="shared" si="33"/>
        <v>6</v>
      </c>
      <c r="G179" s="7">
        <f t="shared" si="34"/>
        <v>0.06</v>
      </c>
      <c r="H179" s="28"/>
      <c r="I179" s="24"/>
      <c r="J179" s="24"/>
      <c r="K179" s="24"/>
    </row>
    <row r="180" spans="1:11" x14ac:dyDescent="0.15">
      <c r="A180" s="13">
        <v>7</v>
      </c>
      <c r="B180" s="13">
        <v>0</v>
      </c>
      <c r="C180" s="14">
        <f t="shared" si="35"/>
        <v>-7</v>
      </c>
      <c r="D180" s="5">
        <v>1.4E-2</v>
      </c>
      <c r="F180" s="15">
        <f t="shared" si="33"/>
        <v>7</v>
      </c>
      <c r="G180" s="7">
        <f t="shared" si="34"/>
        <v>7.0000000000000007E-2</v>
      </c>
      <c r="H180" s="28"/>
      <c r="I180" s="24"/>
      <c r="J180" s="24"/>
      <c r="K180" s="24"/>
    </row>
    <row r="181" spans="1:11" x14ac:dyDescent="0.15">
      <c r="A181" s="13">
        <v>8</v>
      </c>
      <c r="B181" s="13">
        <v>0</v>
      </c>
      <c r="C181" s="14">
        <f t="shared" si="35"/>
        <v>-8</v>
      </c>
      <c r="D181" s="5">
        <v>1.4E-2</v>
      </c>
      <c r="F181" s="15">
        <f t="shared" si="33"/>
        <v>8</v>
      </c>
      <c r="G181" s="7">
        <f t="shared" si="34"/>
        <v>0.08</v>
      </c>
      <c r="H181" s="28"/>
      <c r="I181" s="24"/>
      <c r="J181" s="24"/>
      <c r="K181" s="24"/>
    </row>
    <row r="182" spans="1:11" x14ac:dyDescent="0.15">
      <c r="A182" s="13">
        <v>9</v>
      </c>
      <c r="B182" s="13">
        <v>0</v>
      </c>
      <c r="C182" s="14">
        <f t="shared" si="35"/>
        <v>-9</v>
      </c>
      <c r="D182" s="5">
        <v>1.4E-2</v>
      </c>
      <c r="F182" s="15">
        <f t="shared" si="33"/>
        <v>9</v>
      </c>
      <c r="G182" s="7">
        <f t="shared" si="34"/>
        <v>0.09</v>
      </c>
      <c r="H182" s="28"/>
      <c r="I182" s="24"/>
      <c r="J182" s="24"/>
      <c r="K182" s="24"/>
    </row>
    <row r="183" spans="1:11" x14ac:dyDescent="0.15">
      <c r="A183" s="13">
        <v>10</v>
      </c>
      <c r="B183" s="13">
        <v>0</v>
      </c>
      <c r="C183" s="14">
        <f t="shared" si="35"/>
        <v>-10</v>
      </c>
      <c r="D183" s="5">
        <v>1.4E-2</v>
      </c>
      <c r="F183" s="15">
        <f t="shared" si="33"/>
        <v>10</v>
      </c>
      <c r="G183" s="7">
        <f t="shared" si="34"/>
        <v>0.1</v>
      </c>
      <c r="H183" s="28"/>
      <c r="I183" s="24"/>
      <c r="J183" s="24"/>
      <c r="K183" s="24"/>
    </row>
    <row r="184" spans="1:11" x14ac:dyDescent="0.15">
      <c r="A184" s="13">
        <v>11</v>
      </c>
      <c r="B184" s="13">
        <v>0</v>
      </c>
      <c r="C184" s="14">
        <f t="shared" si="35"/>
        <v>-11</v>
      </c>
      <c r="D184" s="5">
        <v>1.4E-2</v>
      </c>
      <c r="F184" s="15">
        <f t="shared" si="33"/>
        <v>11</v>
      </c>
      <c r="G184" s="7">
        <f t="shared" si="34"/>
        <v>0.11</v>
      </c>
      <c r="H184" s="28"/>
      <c r="I184" s="24"/>
      <c r="J184" s="24"/>
      <c r="K184" s="24"/>
    </row>
    <row r="186" spans="1:11" x14ac:dyDescent="0.15">
      <c r="A186" s="17" t="s">
        <v>32</v>
      </c>
      <c r="B186" s="23" t="s">
        <v>13</v>
      </c>
      <c r="C186" s="22" t="s">
        <v>38</v>
      </c>
      <c r="D186" s="16" t="str">
        <f>$K$5</f>
        <v>psi</v>
      </c>
      <c r="F186" s="17" t="s">
        <v>32</v>
      </c>
      <c r="G186" s="6" t="str">
        <f>B186</f>
        <v>CH13</v>
      </c>
      <c r="H186" s="3"/>
      <c r="I186" s="20"/>
      <c r="J186" s="6"/>
      <c r="K186" s="6"/>
    </row>
    <row r="187" spans="1:11" ht="15" customHeight="1" x14ac:dyDescent="0.15">
      <c r="A187" s="25" t="s">
        <v>26</v>
      </c>
      <c r="B187" s="29" t="s">
        <v>30</v>
      </c>
      <c r="C187" s="29" t="s">
        <v>33</v>
      </c>
      <c r="D187" s="31" t="s">
        <v>31</v>
      </c>
      <c r="F187" s="18" t="s">
        <v>26</v>
      </c>
      <c r="G187" s="27" t="s">
        <v>36</v>
      </c>
      <c r="H187" s="25" t="s">
        <v>17</v>
      </c>
      <c r="I187" s="25" t="s">
        <v>37</v>
      </c>
      <c r="J187" s="25"/>
      <c r="K187" s="25"/>
    </row>
    <row r="188" spans="1:11" x14ac:dyDescent="0.15">
      <c r="A188" s="25"/>
      <c r="B188" s="30"/>
      <c r="C188" s="30"/>
      <c r="D188" s="25"/>
      <c r="F188" s="18" t="str">
        <f>"（"&amp;$K$5&amp;"）"</f>
        <v>（psi）</v>
      </c>
      <c r="G188" s="25"/>
      <c r="H188" s="25"/>
      <c r="I188" s="25"/>
      <c r="J188" s="25"/>
      <c r="K188" s="25"/>
    </row>
    <row r="189" spans="1:11" x14ac:dyDescent="0.15">
      <c r="A189" s="13">
        <v>1</v>
      </c>
      <c r="B189" s="13">
        <v>0</v>
      </c>
      <c r="C189" s="14">
        <f>B189-A189</f>
        <v>-1</v>
      </c>
      <c r="D189" s="5">
        <v>1.4E-2</v>
      </c>
      <c r="F189" s="15">
        <f t="shared" ref="F189:F199" si="36">A189</f>
        <v>1</v>
      </c>
      <c r="G189" s="7">
        <f t="shared" ref="G189:G199" si="37">ABS(C189)/($K$6-$I$6)</f>
        <v>0.01</v>
      </c>
      <c r="H189" s="28">
        <f>MAX(G189:G199)</f>
        <v>0.11</v>
      </c>
      <c r="I189" s="24"/>
      <c r="J189" s="24"/>
      <c r="K189" s="24"/>
    </row>
    <row r="190" spans="1:11" x14ac:dyDescent="0.15">
      <c r="A190" s="13">
        <v>2</v>
      </c>
      <c r="B190" s="13">
        <v>0</v>
      </c>
      <c r="C190" s="14">
        <f t="shared" ref="C190:C199" si="38">B190-A190</f>
        <v>-2</v>
      </c>
      <c r="D190" s="5">
        <v>1.4E-2</v>
      </c>
      <c r="F190" s="15">
        <f t="shared" si="36"/>
        <v>2</v>
      </c>
      <c r="G190" s="7">
        <f t="shared" si="37"/>
        <v>0.02</v>
      </c>
      <c r="H190" s="28"/>
      <c r="I190" s="24"/>
      <c r="J190" s="24"/>
      <c r="K190" s="24"/>
    </row>
    <row r="191" spans="1:11" x14ac:dyDescent="0.15">
      <c r="A191" s="13">
        <v>3</v>
      </c>
      <c r="B191" s="13">
        <v>0</v>
      </c>
      <c r="C191" s="14">
        <f t="shared" si="38"/>
        <v>-3</v>
      </c>
      <c r="D191" s="5">
        <v>1.4E-2</v>
      </c>
      <c r="F191" s="15">
        <f t="shared" si="36"/>
        <v>3</v>
      </c>
      <c r="G191" s="7">
        <f t="shared" si="37"/>
        <v>0.03</v>
      </c>
      <c r="H191" s="28"/>
      <c r="I191" s="24"/>
      <c r="J191" s="24"/>
      <c r="K191" s="24"/>
    </row>
    <row r="192" spans="1:11" x14ac:dyDescent="0.15">
      <c r="A192" s="13">
        <v>4</v>
      </c>
      <c r="B192" s="13">
        <v>0</v>
      </c>
      <c r="C192" s="14">
        <f t="shared" si="38"/>
        <v>-4</v>
      </c>
      <c r="D192" s="5">
        <v>1.4E-2</v>
      </c>
      <c r="F192" s="15">
        <f t="shared" si="36"/>
        <v>4</v>
      </c>
      <c r="G192" s="7">
        <f t="shared" si="37"/>
        <v>0.04</v>
      </c>
      <c r="H192" s="28"/>
      <c r="I192" s="24"/>
      <c r="J192" s="24"/>
      <c r="K192" s="24"/>
    </row>
    <row r="193" spans="1:11" x14ac:dyDescent="0.15">
      <c r="A193" s="13">
        <v>5</v>
      </c>
      <c r="B193" s="13">
        <v>0</v>
      </c>
      <c r="C193" s="14">
        <f t="shared" si="38"/>
        <v>-5</v>
      </c>
      <c r="D193" s="5">
        <v>1.4E-2</v>
      </c>
      <c r="F193" s="15">
        <f t="shared" si="36"/>
        <v>5</v>
      </c>
      <c r="G193" s="7">
        <f t="shared" si="37"/>
        <v>0.05</v>
      </c>
      <c r="H193" s="28"/>
      <c r="I193" s="24"/>
      <c r="J193" s="24"/>
      <c r="K193" s="24"/>
    </row>
    <row r="194" spans="1:11" x14ac:dyDescent="0.15">
      <c r="A194" s="13">
        <v>6</v>
      </c>
      <c r="B194" s="13">
        <v>0</v>
      </c>
      <c r="C194" s="14">
        <f t="shared" si="38"/>
        <v>-6</v>
      </c>
      <c r="D194" s="5">
        <v>1.4E-2</v>
      </c>
      <c r="F194" s="15">
        <f t="shared" si="36"/>
        <v>6</v>
      </c>
      <c r="G194" s="7">
        <f t="shared" si="37"/>
        <v>0.06</v>
      </c>
      <c r="H194" s="28"/>
      <c r="I194" s="24"/>
      <c r="J194" s="24"/>
      <c r="K194" s="24"/>
    </row>
    <row r="195" spans="1:11" x14ac:dyDescent="0.15">
      <c r="A195" s="13">
        <v>7</v>
      </c>
      <c r="B195" s="13">
        <v>0</v>
      </c>
      <c r="C195" s="14">
        <f t="shared" si="38"/>
        <v>-7</v>
      </c>
      <c r="D195" s="5">
        <v>1.4E-2</v>
      </c>
      <c r="F195" s="15">
        <f t="shared" si="36"/>
        <v>7</v>
      </c>
      <c r="G195" s="7">
        <f t="shared" si="37"/>
        <v>7.0000000000000007E-2</v>
      </c>
      <c r="H195" s="28"/>
      <c r="I195" s="24"/>
      <c r="J195" s="24"/>
      <c r="K195" s="24"/>
    </row>
    <row r="196" spans="1:11" x14ac:dyDescent="0.15">
      <c r="A196" s="13">
        <v>8</v>
      </c>
      <c r="B196" s="13">
        <v>0</v>
      </c>
      <c r="C196" s="14">
        <f t="shared" si="38"/>
        <v>-8</v>
      </c>
      <c r="D196" s="5">
        <v>1.4E-2</v>
      </c>
      <c r="F196" s="15">
        <f t="shared" si="36"/>
        <v>8</v>
      </c>
      <c r="G196" s="7">
        <f t="shared" si="37"/>
        <v>0.08</v>
      </c>
      <c r="H196" s="28"/>
      <c r="I196" s="24"/>
      <c r="J196" s="24"/>
      <c r="K196" s="24"/>
    </row>
    <row r="197" spans="1:11" x14ac:dyDescent="0.15">
      <c r="A197" s="13">
        <v>9</v>
      </c>
      <c r="B197" s="13">
        <v>0</v>
      </c>
      <c r="C197" s="14">
        <f t="shared" si="38"/>
        <v>-9</v>
      </c>
      <c r="D197" s="5">
        <v>1.4E-2</v>
      </c>
      <c r="F197" s="15">
        <f t="shared" si="36"/>
        <v>9</v>
      </c>
      <c r="G197" s="7">
        <f t="shared" si="37"/>
        <v>0.09</v>
      </c>
      <c r="H197" s="28"/>
      <c r="I197" s="24"/>
      <c r="J197" s="24"/>
      <c r="K197" s="24"/>
    </row>
    <row r="198" spans="1:11" x14ac:dyDescent="0.15">
      <c r="A198" s="13">
        <v>10</v>
      </c>
      <c r="B198" s="13">
        <v>0</v>
      </c>
      <c r="C198" s="14">
        <f t="shared" si="38"/>
        <v>-10</v>
      </c>
      <c r="D198" s="5">
        <v>1.4E-2</v>
      </c>
      <c r="F198" s="15">
        <f t="shared" si="36"/>
        <v>10</v>
      </c>
      <c r="G198" s="7">
        <f t="shared" si="37"/>
        <v>0.1</v>
      </c>
      <c r="H198" s="28"/>
      <c r="I198" s="24"/>
      <c r="J198" s="24"/>
      <c r="K198" s="24"/>
    </row>
    <row r="199" spans="1:11" x14ac:dyDescent="0.15">
      <c r="A199" s="13">
        <v>11</v>
      </c>
      <c r="B199" s="13">
        <v>0</v>
      </c>
      <c r="C199" s="14">
        <f t="shared" si="38"/>
        <v>-11</v>
      </c>
      <c r="D199" s="5">
        <v>1.4E-2</v>
      </c>
      <c r="F199" s="15">
        <f t="shared" si="36"/>
        <v>11</v>
      </c>
      <c r="G199" s="7">
        <f t="shared" si="37"/>
        <v>0.11</v>
      </c>
      <c r="H199" s="28"/>
      <c r="I199" s="24"/>
      <c r="J199" s="24"/>
      <c r="K199" s="24"/>
    </row>
    <row r="201" spans="1:11" x14ac:dyDescent="0.15">
      <c r="A201" s="17" t="s">
        <v>32</v>
      </c>
      <c r="B201" s="23" t="s">
        <v>14</v>
      </c>
      <c r="C201" s="22" t="s">
        <v>38</v>
      </c>
      <c r="D201" s="16" t="str">
        <f>$K$5</f>
        <v>psi</v>
      </c>
      <c r="F201" s="17" t="s">
        <v>32</v>
      </c>
      <c r="G201" s="6" t="str">
        <f>B201</f>
        <v>CH14</v>
      </c>
      <c r="H201" s="3"/>
      <c r="I201" s="20"/>
      <c r="J201" s="6"/>
      <c r="K201" s="6"/>
    </row>
    <row r="202" spans="1:11" ht="15" customHeight="1" x14ac:dyDescent="0.15">
      <c r="A202" s="25" t="s">
        <v>26</v>
      </c>
      <c r="B202" s="29" t="s">
        <v>30</v>
      </c>
      <c r="C202" s="29" t="s">
        <v>33</v>
      </c>
      <c r="D202" s="31" t="s">
        <v>31</v>
      </c>
      <c r="F202" s="18" t="s">
        <v>26</v>
      </c>
      <c r="G202" s="27" t="s">
        <v>36</v>
      </c>
      <c r="H202" s="25" t="s">
        <v>17</v>
      </c>
      <c r="I202" s="25" t="s">
        <v>37</v>
      </c>
      <c r="J202" s="25"/>
      <c r="K202" s="25"/>
    </row>
    <row r="203" spans="1:11" x14ac:dyDescent="0.15">
      <c r="A203" s="25"/>
      <c r="B203" s="30"/>
      <c r="C203" s="30"/>
      <c r="D203" s="25"/>
      <c r="F203" s="18" t="str">
        <f>"（"&amp;$K$5&amp;"）"</f>
        <v>（psi）</v>
      </c>
      <c r="G203" s="25"/>
      <c r="H203" s="25"/>
      <c r="I203" s="25"/>
      <c r="J203" s="25"/>
      <c r="K203" s="25"/>
    </row>
    <row r="204" spans="1:11" x14ac:dyDescent="0.15">
      <c r="A204" s="13">
        <v>1</v>
      </c>
      <c r="B204" s="13">
        <v>0</v>
      </c>
      <c r="C204" s="14">
        <f>B204-A204</f>
        <v>-1</v>
      </c>
      <c r="D204" s="5">
        <v>1.4E-2</v>
      </c>
      <c r="F204" s="15">
        <f t="shared" ref="F204:F214" si="39">A204</f>
        <v>1</v>
      </c>
      <c r="G204" s="7">
        <f t="shared" ref="G204:G214" si="40">ABS(C204)/($K$6-$I$6)</f>
        <v>0.01</v>
      </c>
      <c r="H204" s="28">
        <f>MAX(G204:G214)</f>
        <v>0.11</v>
      </c>
      <c r="I204" s="24"/>
      <c r="J204" s="24"/>
      <c r="K204" s="24"/>
    </row>
    <row r="205" spans="1:11" x14ac:dyDescent="0.15">
      <c r="A205" s="13">
        <v>2</v>
      </c>
      <c r="B205" s="13">
        <v>0</v>
      </c>
      <c r="C205" s="14">
        <f t="shared" ref="C205:C214" si="41">B205-A205</f>
        <v>-2</v>
      </c>
      <c r="D205" s="5">
        <v>1.4E-2</v>
      </c>
      <c r="F205" s="15">
        <f t="shared" si="39"/>
        <v>2</v>
      </c>
      <c r="G205" s="7">
        <f t="shared" si="40"/>
        <v>0.02</v>
      </c>
      <c r="H205" s="28"/>
      <c r="I205" s="24"/>
      <c r="J205" s="24"/>
      <c r="K205" s="24"/>
    </row>
    <row r="206" spans="1:11" x14ac:dyDescent="0.15">
      <c r="A206" s="13">
        <v>3</v>
      </c>
      <c r="B206" s="13">
        <v>0</v>
      </c>
      <c r="C206" s="14">
        <f t="shared" si="41"/>
        <v>-3</v>
      </c>
      <c r="D206" s="5">
        <v>1.4E-2</v>
      </c>
      <c r="F206" s="15">
        <f t="shared" si="39"/>
        <v>3</v>
      </c>
      <c r="G206" s="7">
        <f t="shared" si="40"/>
        <v>0.03</v>
      </c>
      <c r="H206" s="28"/>
      <c r="I206" s="24"/>
      <c r="J206" s="24"/>
      <c r="K206" s="24"/>
    </row>
    <row r="207" spans="1:11" x14ac:dyDescent="0.15">
      <c r="A207" s="13">
        <v>4</v>
      </c>
      <c r="B207" s="13">
        <v>0</v>
      </c>
      <c r="C207" s="14">
        <f t="shared" si="41"/>
        <v>-4</v>
      </c>
      <c r="D207" s="5">
        <v>1.4E-2</v>
      </c>
      <c r="F207" s="15">
        <f t="shared" si="39"/>
        <v>4</v>
      </c>
      <c r="G207" s="7">
        <f t="shared" si="40"/>
        <v>0.04</v>
      </c>
      <c r="H207" s="28"/>
      <c r="I207" s="24"/>
      <c r="J207" s="24"/>
      <c r="K207" s="24"/>
    </row>
    <row r="208" spans="1:11" x14ac:dyDescent="0.15">
      <c r="A208" s="13">
        <v>5</v>
      </c>
      <c r="B208" s="13">
        <v>0</v>
      </c>
      <c r="C208" s="14">
        <f t="shared" si="41"/>
        <v>-5</v>
      </c>
      <c r="D208" s="5">
        <v>1.4E-2</v>
      </c>
      <c r="F208" s="15">
        <f t="shared" si="39"/>
        <v>5</v>
      </c>
      <c r="G208" s="7">
        <f t="shared" si="40"/>
        <v>0.05</v>
      </c>
      <c r="H208" s="28"/>
      <c r="I208" s="24"/>
      <c r="J208" s="24"/>
      <c r="K208" s="24"/>
    </row>
    <row r="209" spans="1:11" x14ac:dyDescent="0.15">
      <c r="A209" s="13">
        <v>6</v>
      </c>
      <c r="B209" s="13">
        <v>0</v>
      </c>
      <c r="C209" s="14">
        <f t="shared" si="41"/>
        <v>-6</v>
      </c>
      <c r="D209" s="5">
        <v>1.4E-2</v>
      </c>
      <c r="F209" s="15">
        <f t="shared" si="39"/>
        <v>6</v>
      </c>
      <c r="G209" s="7">
        <f t="shared" si="40"/>
        <v>0.06</v>
      </c>
      <c r="H209" s="28"/>
      <c r="I209" s="24"/>
      <c r="J209" s="24"/>
      <c r="K209" s="24"/>
    </row>
    <row r="210" spans="1:11" x14ac:dyDescent="0.15">
      <c r="A210" s="13">
        <v>7</v>
      </c>
      <c r="B210" s="13">
        <v>0</v>
      </c>
      <c r="C210" s="14">
        <f t="shared" si="41"/>
        <v>-7</v>
      </c>
      <c r="D210" s="5">
        <v>1.4E-2</v>
      </c>
      <c r="F210" s="15">
        <f t="shared" si="39"/>
        <v>7</v>
      </c>
      <c r="G210" s="7">
        <f t="shared" si="40"/>
        <v>7.0000000000000007E-2</v>
      </c>
      <c r="H210" s="28"/>
      <c r="I210" s="24"/>
      <c r="J210" s="24"/>
      <c r="K210" s="24"/>
    </row>
    <row r="211" spans="1:11" x14ac:dyDescent="0.15">
      <c r="A211" s="13">
        <v>8</v>
      </c>
      <c r="B211" s="13">
        <v>0</v>
      </c>
      <c r="C211" s="14">
        <f t="shared" si="41"/>
        <v>-8</v>
      </c>
      <c r="D211" s="5">
        <v>1.4E-2</v>
      </c>
      <c r="F211" s="15">
        <f t="shared" si="39"/>
        <v>8</v>
      </c>
      <c r="G211" s="7">
        <f t="shared" si="40"/>
        <v>0.08</v>
      </c>
      <c r="H211" s="28"/>
      <c r="I211" s="24"/>
      <c r="J211" s="24"/>
      <c r="K211" s="24"/>
    </row>
    <row r="212" spans="1:11" x14ac:dyDescent="0.15">
      <c r="A212" s="13">
        <v>9</v>
      </c>
      <c r="B212" s="13">
        <v>0</v>
      </c>
      <c r="C212" s="14">
        <f t="shared" si="41"/>
        <v>-9</v>
      </c>
      <c r="D212" s="5">
        <v>1.4E-2</v>
      </c>
      <c r="F212" s="15">
        <f t="shared" si="39"/>
        <v>9</v>
      </c>
      <c r="G212" s="7">
        <f t="shared" si="40"/>
        <v>0.09</v>
      </c>
      <c r="H212" s="28"/>
      <c r="I212" s="24"/>
      <c r="J212" s="24"/>
      <c r="K212" s="24"/>
    </row>
    <row r="213" spans="1:11" x14ac:dyDescent="0.15">
      <c r="A213" s="13">
        <v>10</v>
      </c>
      <c r="B213" s="13">
        <v>0</v>
      </c>
      <c r="C213" s="14">
        <f t="shared" si="41"/>
        <v>-10</v>
      </c>
      <c r="D213" s="5">
        <v>1.4E-2</v>
      </c>
      <c r="F213" s="15">
        <f t="shared" si="39"/>
        <v>10</v>
      </c>
      <c r="G213" s="7">
        <f t="shared" si="40"/>
        <v>0.1</v>
      </c>
      <c r="H213" s="28"/>
      <c r="I213" s="24"/>
      <c r="J213" s="24"/>
      <c r="K213" s="24"/>
    </row>
    <row r="214" spans="1:11" x14ac:dyDescent="0.15">
      <c r="A214" s="13">
        <v>11</v>
      </c>
      <c r="B214" s="13">
        <v>0</v>
      </c>
      <c r="C214" s="14">
        <f t="shared" si="41"/>
        <v>-11</v>
      </c>
      <c r="D214" s="5">
        <v>1.4E-2</v>
      </c>
      <c r="F214" s="15">
        <f t="shared" si="39"/>
        <v>11</v>
      </c>
      <c r="G214" s="7">
        <f t="shared" si="40"/>
        <v>0.11</v>
      </c>
      <c r="H214" s="28"/>
      <c r="I214" s="24"/>
      <c r="J214" s="24"/>
      <c r="K214" s="24"/>
    </row>
    <row r="216" spans="1:11" x14ac:dyDescent="0.15">
      <c r="A216" s="17" t="s">
        <v>32</v>
      </c>
      <c r="B216" s="23" t="s">
        <v>15</v>
      </c>
      <c r="C216" s="22" t="s">
        <v>38</v>
      </c>
      <c r="D216" s="16" t="str">
        <f>$K$5</f>
        <v>psi</v>
      </c>
      <c r="F216" s="17" t="s">
        <v>32</v>
      </c>
      <c r="G216" s="6" t="str">
        <f>B216</f>
        <v>CH15</v>
      </c>
      <c r="H216" s="3"/>
      <c r="I216" s="20"/>
      <c r="J216" s="6"/>
      <c r="K216" s="6"/>
    </row>
    <row r="217" spans="1:11" ht="15" customHeight="1" x14ac:dyDescent="0.15">
      <c r="A217" s="25" t="s">
        <v>26</v>
      </c>
      <c r="B217" s="29" t="s">
        <v>30</v>
      </c>
      <c r="C217" s="29" t="s">
        <v>33</v>
      </c>
      <c r="D217" s="31" t="s">
        <v>31</v>
      </c>
      <c r="F217" s="18" t="s">
        <v>26</v>
      </c>
      <c r="G217" s="27" t="s">
        <v>36</v>
      </c>
      <c r="H217" s="25" t="s">
        <v>17</v>
      </c>
      <c r="I217" s="25" t="s">
        <v>37</v>
      </c>
      <c r="J217" s="25"/>
      <c r="K217" s="25"/>
    </row>
    <row r="218" spans="1:11" x14ac:dyDescent="0.15">
      <c r="A218" s="25"/>
      <c r="B218" s="30"/>
      <c r="C218" s="30"/>
      <c r="D218" s="25"/>
      <c r="F218" s="18" t="str">
        <f>"（"&amp;$K$5&amp;"）"</f>
        <v>（psi）</v>
      </c>
      <c r="G218" s="25"/>
      <c r="H218" s="25"/>
      <c r="I218" s="25"/>
      <c r="J218" s="25"/>
      <c r="K218" s="25"/>
    </row>
    <row r="219" spans="1:11" x14ac:dyDescent="0.15">
      <c r="A219" s="13">
        <v>1</v>
      </c>
      <c r="B219" s="13">
        <v>0</v>
      </c>
      <c r="C219" s="14">
        <f>B219-A219</f>
        <v>-1</v>
      </c>
      <c r="D219" s="5">
        <v>1.4E-2</v>
      </c>
      <c r="F219" s="15">
        <f t="shared" ref="F219:F229" si="42">A219</f>
        <v>1</v>
      </c>
      <c r="G219" s="7">
        <f t="shared" ref="G219:G229" si="43">ABS(C219)/($K$6-$I$6)</f>
        <v>0.01</v>
      </c>
      <c r="H219" s="28">
        <f>MAX(G219:G229)</f>
        <v>0.11</v>
      </c>
      <c r="I219" s="24"/>
      <c r="J219" s="24"/>
      <c r="K219" s="24"/>
    </row>
    <row r="220" spans="1:11" x14ac:dyDescent="0.15">
      <c r="A220" s="13">
        <v>2</v>
      </c>
      <c r="B220" s="13">
        <v>0</v>
      </c>
      <c r="C220" s="14">
        <f t="shared" ref="C220:C229" si="44">B220-A220</f>
        <v>-2</v>
      </c>
      <c r="D220" s="5">
        <v>1.4E-2</v>
      </c>
      <c r="F220" s="15">
        <f t="shared" si="42"/>
        <v>2</v>
      </c>
      <c r="G220" s="7">
        <f t="shared" si="43"/>
        <v>0.02</v>
      </c>
      <c r="H220" s="28"/>
      <c r="I220" s="24"/>
      <c r="J220" s="24"/>
      <c r="K220" s="24"/>
    </row>
    <row r="221" spans="1:11" x14ac:dyDescent="0.15">
      <c r="A221" s="13">
        <v>3</v>
      </c>
      <c r="B221" s="13">
        <v>0</v>
      </c>
      <c r="C221" s="14">
        <f t="shared" si="44"/>
        <v>-3</v>
      </c>
      <c r="D221" s="5">
        <v>1.4E-2</v>
      </c>
      <c r="F221" s="15">
        <f t="shared" si="42"/>
        <v>3</v>
      </c>
      <c r="G221" s="7">
        <f t="shared" si="43"/>
        <v>0.03</v>
      </c>
      <c r="H221" s="28"/>
      <c r="I221" s="24"/>
      <c r="J221" s="24"/>
      <c r="K221" s="24"/>
    </row>
    <row r="222" spans="1:11" x14ac:dyDescent="0.15">
      <c r="A222" s="13">
        <v>4</v>
      </c>
      <c r="B222" s="13">
        <v>0</v>
      </c>
      <c r="C222" s="14">
        <f t="shared" si="44"/>
        <v>-4</v>
      </c>
      <c r="D222" s="5">
        <v>1.4E-2</v>
      </c>
      <c r="F222" s="15">
        <f t="shared" si="42"/>
        <v>4</v>
      </c>
      <c r="G222" s="7">
        <f t="shared" si="43"/>
        <v>0.04</v>
      </c>
      <c r="H222" s="28"/>
      <c r="I222" s="24"/>
      <c r="J222" s="24"/>
      <c r="K222" s="24"/>
    </row>
    <row r="223" spans="1:11" x14ac:dyDescent="0.15">
      <c r="A223" s="13">
        <v>5</v>
      </c>
      <c r="B223" s="13">
        <v>0</v>
      </c>
      <c r="C223" s="14">
        <f t="shared" si="44"/>
        <v>-5</v>
      </c>
      <c r="D223" s="5">
        <v>1.4E-2</v>
      </c>
      <c r="F223" s="15">
        <f t="shared" si="42"/>
        <v>5</v>
      </c>
      <c r="G223" s="7">
        <f t="shared" si="43"/>
        <v>0.05</v>
      </c>
      <c r="H223" s="28"/>
      <c r="I223" s="24"/>
      <c r="J223" s="24"/>
      <c r="K223" s="24"/>
    </row>
    <row r="224" spans="1:11" x14ac:dyDescent="0.15">
      <c r="A224" s="13">
        <v>6</v>
      </c>
      <c r="B224" s="13">
        <v>0</v>
      </c>
      <c r="C224" s="14">
        <f t="shared" si="44"/>
        <v>-6</v>
      </c>
      <c r="D224" s="5">
        <v>1.4E-2</v>
      </c>
      <c r="F224" s="15">
        <f t="shared" si="42"/>
        <v>6</v>
      </c>
      <c r="G224" s="7">
        <f t="shared" si="43"/>
        <v>0.06</v>
      </c>
      <c r="H224" s="28"/>
      <c r="I224" s="24"/>
      <c r="J224" s="24"/>
      <c r="K224" s="24"/>
    </row>
    <row r="225" spans="1:11" x14ac:dyDescent="0.15">
      <c r="A225" s="13">
        <v>7</v>
      </c>
      <c r="B225" s="13">
        <v>0</v>
      </c>
      <c r="C225" s="14">
        <f t="shared" si="44"/>
        <v>-7</v>
      </c>
      <c r="D225" s="5">
        <v>1.4E-2</v>
      </c>
      <c r="F225" s="15">
        <f t="shared" si="42"/>
        <v>7</v>
      </c>
      <c r="G225" s="7">
        <f t="shared" si="43"/>
        <v>7.0000000000000007E-2</v>
      </c>
      <c r="H225" s="28"/>
      <c r="I225" s="24"/>
      <c r="J225" s="24"/>
      <c r="K225" s="24"/>
    </row>
    <row r="226" spans="1:11" x14ac:dyDescent="0.15">
      <c r="A226" s="13">
        <v>8</v>
      </c>
      <c r="B226" s="13">
        <v>0</v>
      </c>
      <c r="C226" s="14">
        <f t="shared" si="44"/>
        <v>-8</v>
      </c>
      <c r="D226" s="5">
        <v>1.4E-2</v>
      </c>
      <c r="F226" s="15">
        <f t="shared" si="42"/>
        <v>8</v>
      </c>
      <c r="G226" s="7">
        <f t="shared" si="43"/>
        <v>0.08</v>
      </c>
      <c r="H226" s="28"/>
      <c r="I226" s="24"/>
      <c r="J226" s="24"/>
      <c r="K226" s="24"/>
    </row>
    <row r="227" spans="1:11" x14ac:dyDescent="0.15">
      <c r="A227" s="13">
        <v>9</v>
      </c>
      <c r="B227" s="13">
        <v>0</v>
      </c>
      <c r="C227" s="14">
        <f t="shared" si="44"/>
        <v>-9</v>
      </c>
      <c r="D227" s="5">
        <v>1.4E-2</v>
      </c>
      <c r="F227" s="15">
        <f t="shared" si="42"/>
        <v>9</v>
      </c>
      <c r="G227" s="7">
        <f t="shared" si="43"/>
        <v>0.09</v>
      </c>
      <c r="H227" s="28"/>
      <c r="I227" s="24"/>
      <c r="J227" s="24"/>
      <c r="K227" s="24"/>
    </row>
    <row r="228" spans="1:11" x14ac:dyDescent="0.15">
      <c r="A228" s="13">
        <v>10</v>
      </c>
      <c r="B228" s="13">
        <v>0</v>
      </c>
      <c r="C228" s="14">
        <f t="shared" si="44"/>
        <v>-10</v>
      </c>
      <c r="D228" s="5">
        <v>1.4E-2</v>
      </c>
      <c r="F228" s="15">
        <f t="shared" si="42"/>
        <v>10</v>
      </c>
      <c r="G228" s="7">
        <f t="shared" si="43"/>
        <v>0.1</v>
      </c>
      <c r="H228" s="28"/>
      <c r="I228" s="24"/>
      <c r="J228" s="24"/>
      <c r="K228" s="24"/>
    </row>
    <row r="229" spans="1:11" x14ac:dyDescent="0.15">
      <c r="A229" s="13">
        <v>11</v>
      </c>
      <c r="B229" s="13">
        <v>0</v>
      </c>
      <c r="C229" s="14">
        <f t="shared" si="44"/>
        <v>-11</v>
      </c>
      <c r="D229" s="5">
        <v>1.4E-2</v>
      </c>
      <c r="F229" s="15">
        <f t="shared" si="42"/>
        <v>11</v>
      </c>
      <c r="G229" s="7">
        <f t="shared" si="43"/>
        <v>0.11</v>
      </c>
      <c r="H229" s="28"/>
      <c r="I229" s="24"/>
      <c r="J229" s="24"/>
      <c r="K229" s="24"/>
    </row>
    <row r="231" spans="1:11" x14ac:dyDescent="0.15">
      <c r="A231" s="17" t="s">
        <v>32</v>
      </c>
      <c r="B231" s="23" t="s">
        <v>16</v>
      </c>
      <c r="C231" s="22" t="s">
        <v>38</v>
      </c>
      <c r="D231" s="16" t="str">
        <f>$K$5</f>
        <v>psi</v>
      </c>
      <c r="F231" s="17" t="s">
        <v>32</v>
      </c>
      <c r="G231" s="6" t="str">
        <f>B231</f>
        <v>CH16</v>
      </c>
      <c r="H231" s="3"/>
      <c r="I231" s="20"/>
      <c r="J231" s="6"/>
      <c r="K231" s="6"/>
    </row>
    <row r="232" spans="1:11" ht="15" customHeight="1" x14ac:dyDescent="0.15">
      <c r="A232" s="25" t="s">
        <v>26</v>
      </c>
      <c r="B232" s="29" t="s">
        <v>30</v>
      </c>
      <c r="C232" s="29" t="s">
        <v>33</v>
      </c>
      <c r="D232" s="31" t="s">
        <v>31</v>
      </c>
      <c r="F232" s="18" t="s">
        <v>26</v>
      </c>
      <c r="G232" s="27" t="s">
        <v>36</v>
      </c>
      <c r="H232" s="25" t="s">
        <v>17</v>
      </c>
      <c r="I232" s="25" t="s">
        <v>37</v>
      </c>
      <c r="J232" s="25"/>
      <c r="K232" s="25"/>
    </row>
    <row r="233" spans="1:11" x14ac:dyDescent="0.15">
      <c r="A233" s="25"/>
      <c r="B233" s="30"/>
      <c r="C233" s="30"/>
      <c r="D233" s="25"/>
      <c r="F233" s="18" t="str">
        <f>"（"&amp;$K$5&amp;"）"</f>
        <v>（psi）</v>
      </c>
      <c r="G233" s="25"/>
      <c r="H233" s="25"/>
      <c r="I233" s="25"/>
      <c r="J233" s="25"/>
      <c r="K233" s="25"/>
    </row>
    <row r="234" spans="1:11" x14ac:dyDescent="0.15">
      <c r="A234" s="13">
        <v>1</v>
      </c>
      <c r="B234" s="13">
        <v>0</v>
      </c>
      <c r="C234" s="14">
        <f>B234-A234</f>
        <v>-1</v>
      </c>
      <c r="D234" s="5">
        <v>1.4E-2</v>
      </c>
      <c r="F234" s="15">
        <f t="shared" ref="F234:F244" si="45">A234</f>
        <v>1</v>
      </c>
      <c r="G234" s="7">
        <f t="shared" ref="G234:G244" si="46">ABS(C234)/($K$6-$I$6)</f>
        <v>0.01</v>
      </c>
      <c r="H234" s="28">
        <f>MAX(G234:G244)</f>
        <v>0.11</v>
      </c>
      <c r="I234" s="24"/>
      <c r="J234" s="24"/>
      <c r="K234" s="24"/>
    </row>
    <row r="235" spans="1:11" x14ac:dyDescent="0.15">
      <c r="A235" s="13">
        <v>2</v>
      </c>
      <c r="B235" s="13">
        <v>0</v>
      </c>
      <c r="C235" s="14">
        <f t="shared" ref="C235:C244" si="47">B235-A235</f>
        <v>-2</v>
      </c>
      <c r="D235" s="5">
        <v>1.4E-2</v>
      </c>
      <c r="F235" s="15">
        <f t="shared" si="45"/>
        <v>2</v>
      </c>
      <c r="G235" s="7">
        <f t="shared" si="46"/>
        <v>0.02</v>
      </c>
      <c r="H235" s="28"/>
      <c r="I235" s="24"/>
      <c r="J235" s="24"/>
      <c r="K235" s="24"/>
    </row>
    <row r="236" spans="1:11" x14ac:dyDescent="0.15">
      <c r="A236" s="13">
        <v>3</v>
      </c>
      <c r="B236" s="13">
        <v>0</v>
      </c>
      <c r="C236" s="14">
        <f t="shared" si="47"/>
        <v>-3</v>
      </c>
      <c r="D236" s="5">
        <v>1.4E-2</v>
      </c>
      <c r="F236" s="15">
        <f t="shared" si="45"/>
        <v>3</v>
      </c>
      <c r="G236" s="7">
        <f t="shared" si="46"/>
        <v>0.03</v>
      </c>
      <c r="H236" s="28"/>
      <c r="I236" s="24"/>
      <c r="J236" s="24"/>
      <c r="K236" s="24"/>
    </row>
    <row r="237" spans="1:11" x14ac:dyDescent="0.15">
      <c r="A237" s="13">
        <v>4</v>
      </c>
      <c r="B237" s="13">
        <v>0</v>
      </c>
      <c r="C237" s="14">
        <f t="shared" si="47"/>
        <v>-4</v>
      </c>
      <c r="D237" s="5">
        <v>1.4E-2</v>
      </c>
      <c r="F237" s="15">
        <f t="shared" si="45"/>
        <v>4</v>
      </c>
      <c r="G237" s="7">
        <f t="shared" si="46"/>
        <v>0.04</v>
      </c>
      <c r="H237" s="28"/>
      <c r="I237" s="24"/>
      <c r="J237" s="24"/>
      <c r="K237" s="24"/>
    </row>
    <row r="238" spans="1:11" x14ac:dyDescent="0.15">
      <c r="A238" s="13">
        <v>5</v>
      </c>
      <c r="B238" s="13">
        <v>0</v>
      </c>
      <c r="C238" s="14">
        <f t="shared" si="47"/>
        <v>-5</v>
      </c>
      <c r="D238" s="5">
        <v>1.4E-2</v>
      </c>
      <c r="F238" s="15">
        <f t="shared" si="45"/>
        <v>5</v>
      </c>
      <c r="G238" s="7">
        <f t="shared" si="46"/>
        <v>0.05</v>
      </c>
      <c r="H238" s="28"/>
      <c r="I238" s="24"/>
      <c r="J238" s="24"/>
      <c r="K238" s="24"/>
    </row>
    <row r="239" spans="1:11" x14ac:dyDescent="0.15">
      <c r="A239" s="13">
        <v>6</v>
      </c>
      <c r="B239" s="13">
        <v>0</v>
      </c>
      <c r="C239" s="14">
        <f t="shared" si="47"/>
        <v>-6</v>
      </c>
      <c r="D239" s="5">
        <v>1.4E-2</v>
      </c>
      <c r="F239" s="15">
        <f t="shared" si="45"/>
        <v>6</v>
      </c>
      <c r="G239" s="7">
        <f t="shared" si="46"/>
        <v>0.06</v>
      </c>
      <c r="H239" s="28"/>
      <c r="I239" s="24"/>
      <c r="J239" s="24"/>
      <c r="K239" s="24"/>
    </row>
    <row r="240" spans="1:11" x14ac:dyDescent="0.15">
      <c r="A240" s="13">
        <v>7</v>
      </c>
      <c r="B240" s="13">
        <v>0</v>
      </c>
      <c r="C240" s="14">
        <f t="shared" si="47"/>
        <v>-7</v>
      </c>
      <c r="D240" s="5">
        <v>1.4E-2</v>
      </c>
      <c r="F240" s="15">
        <f t="shared" si="45"/>
        <v>7</v>
      </c>
      <c r="G240" s="7">
        <f t="shared" si="46"/>
        <v>7.0000000000000007E-2</v>
      </c>
      <c r="H240" s="28"/>
      <c r="I240" s="24"/>
      <c r="J240" s="24"/>
      <c r="K240" s="24"/>
    </row>
    <row r="241" spans="1:11" x14ac:dyDescent="0.15">
      <c r="A241" s="13">
        <v>8</v>
      </c>
      <c r="B241" s="13">
        <v>0</v>
      </c>
      <c r="C241" s="14">
        <f t="shared" si="47"/>
        <v>-8</v>
      </c>
      <c r="D241" s="5">
        <v>1.4E-2</v>
      </c>
      <c r="F241" s="15">
        <f t="shared" si="45"/>
        <v>8</v>
      </c>
      <c r="G241" s="7">
        <f t="shared" si="46"/>
        <v>0.08</v>
      </c>
      <c r="H241" s="28"/>
      <c r="I241" s="24"/>
      <c r="J241" s="24"/>
      <c r="K241" s="24"/>
    </row>
    <row r="242" spans="1:11" x14ac:dyDescent="0.15">
      <c r="A242" s="13">
        <v>9</v>
      </c>
      <c r="B242" s="13">
        <v>0</v>
      </c>
      <c r="C242" s="14">
        <f t="shared" si="47"/>
        <v>-9</v>
      </c>
      <c r="D242" s="5">
        <v>1.4E-2</v>
      </c>
      <c r="F242" s="15">
        <f t="shared" si="45"/>
        <v>9</v>
      </c>
      <c r="G242" s="7">
        <f t="shared" si="46"/>
        <v>0.09</v>
      </c>
      <c r="H242" s="28"/>
      <c r="I242" s="24"/>
      <c r="J242" s="24"/>
      <c r="K242" s="24"/>
    </row>
    <row r="243" spans="1:11" x14ac:dyDescent="0.15">
      <c r="A243" s="13">
        <v>10</v>
      </c>
      <c r="B243" s="13">
        <v>0</v>
      </c>
      <c r="C243" s="14">
        <f t="shared" si="47"/>
        <v>-10</v>
      </c>
      <c r="D243" s="5">
        <v>1.4E-2</v>
      </c>
      <c r="F243" s="15">
        <f t="shared" si="45"/>
        <v>10</v>
      </c>
      <c r="G243" s="7">
        <f t="shared" si="46"/>
        <v>0.1</v>
      </c>
      <c r="H243" s="28"/>
      <c r="I243" s="24"/>
      <c r="J243" s="24"/>
      <c r="K243" s="24"/>
    </row>
    <row r="244" spans="1:11" x14ac:dyDescent="0.15">
      <c r="A244" s="13">
        <v>11</v>
      </c>
      <c r="B244" s="13">
        <v>0</v>
      </c>
      <c r="C244" s="14">
        <f t="shared" si="47"/>
        <v>-11</v>
      </c>
      <c r="D244" s="5">
        <v>1.4E-2</v>
      </c>
      <c r="F244" s="15">
        <f t="shared" si="45"/>
        <v>11</v>
      </c>
      <c r="G244" s="7">
        <f t="shared" si="46"/>
        <v>0.11</v>
      </c>
      <c r="H244" s="28"/>
      <c r="I244" s="24"/>
      <c r="J244" s="24"/>
      <c r="K244" s="24"/>
    </row>
    <row r="248" spans="1:11" x14ac:dyDescent="0.15">
      <c r="B248" s="32"/>
      <c r="C248" s="32"/>
    </row>
    <row r="249" spans="1:11" x14ac:dyDescent="0.15">
      <c r="A249" s="26" t="s">
        <v>0</v>
      </c>
      <c r="B249" s="26"/>
      <c r="C249" s="26"/>
      <c r="D249" s="26"/>
      <c r="E249" s="21"/>
    </row>
  </sheetData>
  <mergeCells count="151">
    <mergeCell ref="I8:K9"/>
    <mergeCell ref="I10:K20"/>
    <mergeCell ref="B23:B24"/>
    <mergeCell ref="B38:B39"/>
    <mergeCell ref="B52:B53"/>
    <mergeCell ref="B67:B68"/>
    <mergeCell ref="B82:B83"/>
    <mergeCell ref="B97:B98"/>
    <mergeCell ref="B112:B113"/>
    <mergeCell ref="I23:K24"/>
    <mergeCell ref="I25:K35"/>
    <mergeCell ref="I38:K39"/>
    <mergeCell ref="I40:K50"/>
    <mergeCell ref="I52:K53"/>
    <mergeCell ref="I54:K64"/>
    <mergeCell ref="I67:K68"/>
    <mergeCell ref="I69:K79"/>
    <mergeCell ref="I82:K83"/>
    <mergeCell ref="I84:K94"/>
    <mergeCell ref="I97:K98"/>
    <mergeCell ref="I99:K109"/>
    <mergeCell ref="I112:K113"/>
    <mergeCell ref="D38:D39"/>
    <mergeCell ref="C23:C24"/>
    <mergeCell ref="D23:D24"/>
    <mergeCell ref="B8:B9"/>
    <mergeCell ref="A202:A203"/>
    <mergeCell ref="C202:C203"/>
    <mergeCell ref="D202:D203"/>
    <mergeCell ref="A217:A218"/>
    <mergeCell ref="C217:C218"/>
    <mergeCell ref="D217:D218"/>
    <mergeCell ref="B202:B203"/>
    <mergeCell ref="B217:B218"/>
    <mergeCell ref="A172:A173"/>
    <mergeCell ref="C172:C173"/>
    <mergeCell ref="D172:D173"/>
    <mergeCell ref="A187:A188"/>
    <mergeCell ref="C187:C188"/>
    <mergeCell ref="D187:D188"/>
    <mergeCell ref="B172:B173"/>
    <mergeCell ref="B187:B188"/>
    <mergeCell ref="A157:A158"/>
    <mergeCell ref="C157:C158"/>
    <mergeCell ref="A127:A128"/>
    <mergeCell ref="C127:C128"/>
    <mergeCell ref="D82:D83"/>
    <mergeCell ref="A82:A83"/>
    <mergeCell ref="C82:C83"/>
    <mergeCell ref="B127:B128"/>
    <mergeCell ref="B142:B143"/>
    <mergeCell ref="B157:B158"/>
    <mergeCell ref="D127:D128"/>
    <mergeCell ref="D157:D158"/>
    <mergeCell ref="H40:H50"/>
    <mergeCell ref="H84:H94"/>
    <mergeCell ref="F4:J4"/>
    <mergeCell ref="G52:G53"/>
    <mergeCell ref="H52:H53"/>
    <mergeCell ref="H54:H64"/>
    <mergeCell ref="G67:G68"/>
    <mergeCell ref="H67:H68"/>
    <mergeCell ref="H69:H79"/>
    <mergeCell ref="H114:H124"/>
    <mergeCell ref="G127:G128"/>
    <mergeCell ref="H127:H128"/>
    <mergeCell ref="H129:H139"/>
    <mergeCell ref="I114:K124"/>
    <mergeCell ref="I127:K128"/>
    <mergeCell ref="I129:K139"/>
    <mergeCell ref="G157:G158"/>
    <mergeCell ref="H157:H158"/>
    <mergeCell ref="D67:D68"/>
    <mergeCell ref="D52:D53"/>
    <mergeCell ref="G82:G83"/>
    <mergeCell ref="H82:H83"/>
    <mergeCell ref="G172:G173"/>
    <mergeCell ref="H172:H173"/>
    <mergeCell ref="I157:K158"/>
    <mergeCell ref="I159:K169"/>
    <mergeCell ref="I172:K173"/>
    <mergeCell ref="H23:H24"/>
    <mergeCell ref="G23:G24"/>
    <mergeCell ref="H10:H20"/>
    <mergeCell ref="H144:H154"/>
    <mergeCell ref="I142:K143"/>
    <mergeCell ref="I144:K154"/>
    <mergeCell ref="H38:H39"/>
    <mergeCell ref="G38:G39"/>
    <mergeCell ref="H25:H35"/>
    <mergeCell ref="I174:K184"/>
    <mergeCell ref="I187:K188"/>
    <mergeCell ref="I189:K199"/>
    <mergeCell ref="I202:K203"/>
    <mergeCell ref="I204:K214"/>
    <mergeCell ref="I217:K218"/>
    <mergeCell ref="A97:A98"/>
    <mergeCell ref="C97:C98"/>
    <mergeCell ref="D97:D98"/>
    <mergeCell ref="A142:A143"/>
    <mergeCell ref="C142:C143"/>
    <mergeCell ref="D142:D143"/>
    <mergeCell ref="G142:G143"/>
    <mergeCell ref="H142:H143"/>
    <mergeCell ref="H204:H214"/>
    <mergeCell ref="G217:G218"/>
    <mergeCell ref="H217:H218"/>
    <mergeCell ref="H174:H184"/>
    <mergeCell ref="G187:G188"/>
    <mergeCell ref="H187:H188"/>
    <mergeCell ref="H189:H199"/>
    <mergeCell ref="G202:G203"/>
    <mergeCell ref="H202:H203"/>
    <mergeCell ref="H159:H169"/>
    <mergeCell ref="I1:I2"/>
    <mergeCell ref="H8:H9"/>
    <mergeCell ref="G8:G9"/>
    <mergeCell ref="G97:G98"/>
    <mergeCell ref="H97:H98"/>
    <mergeCell ref="H99:H109"/>
    <mergeCell ref="A112:A113"/>
    <mergeCell ref="C112:C113"/>
    <mergeCell ref="D112:D113"/>
    <mergeCell ref="G112:G113"/>
    <mergeCell ref="H112:H113"/>
    <mergeCell ref="F3:J3"/>
    <mergeCell ref="A67:A68"/>
    <mergeCell ref="C67:C68"/>
    <mergeCell ref="A52:A53"/>
    <mergeCell ref="C52:C53"/>
    <mergeCell ref="A38:A39"/>
    <mergeCell ref="C38:C39"/>
    <mergeCell ref="D8:D9"/>
    <mergeCell ref="A3:D3"/>
    <mergeCell ref="A4:D4"/>
    <mergeCell ref="A8:A9"/>
    <mergeCell ref="C8:C9"/>
    <mergeCell ref="A23:A24"/>
    <mergeCell ref="I219:K229"/>
    <mergeCell ref="I232:K233"/>
    <mergeCell ref="I234:K244"/>
    <mergeCell ref="A249:D249"/>
    <mergeCell ref="G232:G233"/>
    <mergeCell ref="H232:H233"/>
    <mergeCell ref="H234:H244"/>
    <mergeCell ref="H219:H229"/>
    <mergeCell ref="A232:A233"/>
    <mergeCell ref="C232:C233"/>
    <mergeCell ref="D232:D233"/>
    <mergeCell ref="B232:B233"/>
    <mergeCell ref="B248:C248"/>
  </mergeCells>
  <phoneticPr fontId="7" type="noConversion"/>
  <conditionalFormatting sqref="G10:G20">
    <cfRule type="cellIs" dxfId="65" priority="857" operator="lessThan">
      <formula>$G$6/100</formula>
    </cfRule>
    <cfRule type="cellIs" dxfId="64" priority="858" operator="greaterThanOrEqual">
      <formula>$G$6/100</formula>
    </cfRule>
  </conditionalFormatting>
  <conditionalFormatting sqref="H10">
    <cfRule type="cellIs" dxfId="63" priority="425" operator="lessThan">
      <formula>$G$6/100</formula>
    </cfRule>
    <cfRule type="cellIs" dxfId="62" priority="426" operator="greaterThanOrEqual">
      <formula>$G$6/100</formula>
    </cfRule>
  </conditionalFormatting>
  <conditionalFormatting sqref="J2:K2">
    <cfRule type="cellIs" dxfId="61" priority="669" operator="lessThan">
      <formula>0.0005</formula>
    </cfRule>
    <cfRule type="cellIs" dxfId="60" priority="670" operator="greaterThanOrEqual">
      <formula>0.0005</formula>
    </cfRule>
  </conditionalFormatting>
  <conditionalFormatting sqref="G25:G35">
    <cfRule type="cellIs" dxfId="59" priority="59" operator="lessThan">
      <formula>$G$6/100</formula>
    </cfRule>
    <cfRule type="cellIs" dxfId="58" priority="60" operator="greaterThanOrEqual">
      <formula>$G$6/100</formula>
    </cfRule>
  </conditionalFormatting>
  <conditionalFormatting sqref="H25">
    <cfRule type="cellIs" dxfId="57" priority="57" operator="lessThan">
      <formula>$G$6/100</formula>
    </cfRule>
    <cfRule type="cellIs" dxfId="56" priority="58" operator="greaterThanOrEqual">
      <formula>$G$6/100</formula>
    </cfRule>
  </conditionalFormatting>
  <conditionalFormatting sqref="G40:G50">
    <cfRule type="cellIs" dxfId="55" priority="55" operator="lessThan">
      <formula>$G$6/100</formula>
    </cfRule>
    <cfRule type="cellIs" dxfId="54" priority="56" operator="greaterThanOrEqual">
      <formula>$G$6/100</formula>
    </cfRule>
  </conditionalFormatting>
  <conditionalFormatting sqref="H40">
    <cfRule type="cellIs" dxfId="53" priority="53" operator="lessThan">
      <formula>$G$6/100</formula>
    </cfRule>
    <cfRule type="cellIs" dxfId="52" priority="54" operator="greaterThanOrEqual">
      <formula>$G$6/100</formula>
    </cfRule>
  </conditionalFormatting>
  <conditionalFormatting sqref="G54:G64">
    <cfRule type="cellIs" dxfId="51" priority="51" operator="lessThan">
      <formula>$G$6/100</formula>
    </cfRule>
    <cfRule type="cellIs" dxfId="50" priority="52" operator="greaterThanOrEqual">
      <formula>$G$6/100</formula>
    </cfRule>
  </conditionalFormatting>
  <conditionalFormatting sqref="H54">
    <cfRule type="cellIs" dxfId="49" priority="49" operator="lessThan">
      <formula>$G$6/100</formula>
    </cfRule>
    <cfRule type="cellIs" dxfId="48" priority="50" operator="greaterThanOrEqual">
      <formula>$G$6/100</formula>
    </cfRule>
  </conditionalFormatting>
  <conditionalFormatting sqref="G69:G79">
    <cfRule type="cellIs" dxfId="47" priority="47" operator="lessThan">
      <formula>$G$6/100</formula>
    </cfRule>
    <cfRule type="cellIs" dxfId="46" priority="48" operator="greaterThanOrEqual">
      <formula>$G$6/100</formula>
    </cfRule>
  </conditionalFormatting>
  <conditionalFormatting sqref="H69">
    <cfRule type="cellIs" dxfId="45" priority="45" operator="lessThan">
      <formula>$G$6/100</formula>
    </cfRule>
    <cfRule type="cellIs" dxfId="44" priority="46" operator="greaterThanOrEqual">
      <formula>$G$6/100</formula>
    </cfRule>
  </conditionalFormatting>
  <conditionalFormatting sqref="G84:G94">
    <cfRule type="cellIs" dxfId="43" priority="43" operator="lessThan">
      <formula>$G$6/100</formula>
    </cfRule>
    <cfRule type="cellIs" dxfId="42" priority="44" operator="greaterThanOrEqual">
      <formula>$G$6/100</formula>
    </cfRule>
  </conditionalFormatting>
  <conditionalFormatting sqref="H84">
    <cfRule type="cellIs" dxfId="41" priority="41" operator="lessThan">
      <formula>$G$6/100</formula>
    </cfRule>
    <cfRule type="cellIs" dxfId="40" priority="42" operator="greaterThanOrEqual">
      <formula>$G$6/100</formula>
    </cfRule>
  </conditionalFormatting>
  <conditionalFormatting sqref="G99:G109">
    <cfRule type="cellIs" dxfId="39" priority="39" operator="lessThan">
      <formula>$G$6/100</formula>
    </cfRule>
    <cfRule type="cellIs" dxfId="38" priority="40" operator="greaterThanOrEqual">
      <formula>$G$6/100</formula>
    </cfRule>
  </conditionalFormatting>
  <conditionalFormatting sqref="H99">
    <cfRule type="cellIs" dxfId="37" priority="37" operator="lessThan">
      <formula>$G$6/100</formula>
    </cfRule>
    <cfRule type="cellIs" dxfId="36" priority="38" operator="greaterThanOrEqual">
      <formula>$G$6/100</formula>
    </cfRule>
  </conditionalFormatting>
  <conditionalFormatting sqref="G114:G124">
    <cfRule type="cellIs" dxfId="35" priority="35" operator="lessThan">
      <formula>$G$6/100</formula>
    </cfRule>
    <cfRule type="cellIs" dxfId="34" priority="36" operator="greaterThanOrEqual">
      <formula>$G$6/100</formula>
    </cfRule>
  </conditionalFormatting>
  <conditionalFormatting sqref="H114">
    <cfRule type="cellIs" dxfId="33" priority="33" operator="lessThan">
      <formula>$G$6/100</formula>
    </cfRule>
    <cfRule type="cellIs" dxfId="32" priority="34" operator="greaterThanOrEqual">
      <formula>$G$6/100</formula>
    </cfRule>
  </conditionalFormatting>
  <conditionalFormatting sqref="G129:G139">
    <cfRule type="cellIs" dxfId="31" priority="31" operator="lessThan">
      <formula>$G$6/100</formula>
    </cfRule>
    <cfRule type="cellIs" dxfId="30" priority="32" operator="greaterThanOrEqual">
      <formula>$G$6/100</formula>
    </cfRule>
  </conditionalFormatting>
  <conditionalFormatting sqref="H129">
    <cfRule type="cellIs" dxfId="29" priority="29" operator="lessThan">
      <formula>$G$6/100</formula>
    </cfRule>
    <cfRule type="cellIs" dxfId="28" priority="30" operator="greaterThanOrEqual">
      <formula>$G$6/100</formula>
    </cfRule>
  </conditionalFormatting>
  <conditionalFormatting sqref="G144:G154">
    <cfRule type="cellIs" dxfId="27" priority="27" operator="lessThan">
      <formula>$G$6/100</formula>
    </cfRule>
    <cfRule type="cellIs" dxfId="26" priority="28" operator="greaterThanOrEqual">
      <formula>$G$6/100</formula>
    </cfRule>
  </conditionalFormatting>
  <conditionalFormatting sqref="H144">
    <cfRule type="cellIs" dxfId="25" priority="25" operator="lessThan">
      <formula>$G$6/100</formula>
    </cfRule>
    <cfRule type="cellIs" dxfId="24" priority="26" operator="greaterThanOrEqual">
      <formula>$G$6/100</formula>
    </cfRule>
  </conditionalFormatting>
  <conditionalFormatting sqref="G159:G169">
    <cfRule type="cellIs" dxfId="23" priority="23" operator="lessThan">
      <formula>$G$6/100</formula>
    </cfRule>
    <cfRule type="cellIs" dxfId="22" priority="24" operator="greaterThanOrEqual">
      <formula>$G$6/100</formula>
    </cfRule>
  </conditionalFormatting>
  <conditionalFormatting sqref="H159">
    <cfRule type="cellIs" dxfId="21" priority="21" operator="lessThan">
      <formula>$G$6/100</formula>
    </cfRule>
    <cfRule type="cellIs" dxfId="20" priority="22" operator="greaterThanOrEqual">
      <formula>$G$6/100</formula>
    </cfRule>
  </conditionalFormatting>
  <conditionalFormatting sqref="G174:G184">
    <cfRule type="cellIs" dxfId="19" priority="19" operator="lessThan">
      <formula>$G$6/100</formula>
    </cfRule>
    <cfRule type="cellIs" dxfId="18" priority="20" operator="greaterThanOrEqual">
      <formula>$G$6/100</formula>
    </cfRule>
  </conditionalFormatting>
  <conditionalFormatting sqref="H174">
    <cfRule type="cellIs" dxfId="17" priority="17" operator="lessThan">
      <formula>$G$6/100</formula>
    </cfRule>
    <cfRule type="cellIs" dxfId="16" priority="18" operator="greaterThanOrEqual">
      <formula>$G$6/100</formula>
    </cfRule>
  </conditionalFormatting>
  <conditionalFormatting sqref="G189:G199">
    <cfRule type="cellIs" dxfId="15" priority="15" operator="lessThan">
      <formula>$G$6/100</formula>
    </cfRule>
    <cfRule type="cellIs" dxfId="14" priority="16" operator="greaterThanOrEqual">
      <formula>$G$6/100</formula>
    </cfRule>
  </conditionalFormatting>
  <conditionalFormatting sqref="H189">
    <cfRule type="cellIs" dxfId="13" priority="13" operator="lessThan">
      <formula>$G$6/100</formula>
    </cfRule>
    <cfRule type="cellIs" dxfId="12" priority="14" operator="greaterThanOrEqual">
      <formula>$G$6/100</formula>
    </cfRule>
  </conditionalFormatting>
  <conditionalFormatting sqref="G204:G214">
    <cfRule type="cellIs" dxfId="11" priority="11" operator="lessThan">
      <formula>$G$6/100</formula>
    </cfRule>
    <cfRule type="cellIs" dxfId="10" priority="12" operator="greaterThanOrEqual">
      <formula>$G$6/100</formula>
    </cfRule>
  </conditionalFormatting>
  <conditionalFormatting sqref="H204">
    <cfRule type="cellIs" dxfId="9" priority="9" operator="lessThan">
      <formula>$G$6/100</formula>
    </cfRule>
    <cfRule type="cellIs" dxfId="8" priority="10" operator="greaterThanOrEqual">
      <formula>$G$6/100</formula>
    </cfRule>
  </conditionalFormatting>
  <conditionalFormatting sqref="G219:G229">
    <cfRule type="cellIs" dxfId="7" priority="7" operator="lessThan">
      <formula>$G$6/100</formula>
    </cfRule>
    <cfRule type="cellIs" dxfId="6" priority="8" operator="greaterThanOrEqual">
      <formula>$G$6/100</formula>
    </cfRule>
  </conditionalFormatting>
  <conditionalFormatting sqref="H219">
    <cfRule type="cellIs" dxfId="5" priority="5" operator="lessThan">
      <formula>$G$6/100</formula>
    </cfRule>
    <cfRule type="cellIs" dxfId="4" priority="6" operator="greaterThanOrEqual">
      <formula>$G$6/100</formula>
    </cfRule>
  </conditionalFormatting>
  <conditionalFormatting sqref="G234:G244">
    <cfRule type="cellIs" dxfId="3" priority="3" operator="lessThan">
      <formula>$G$6/100</formula>
    </cfRule>
    <cfRule type="cellIs" dxfId="2" priority="4" operator="greaterThanOrEqual">
      <formula>$G$6/100</formula>
    </cfRule>
  </conditionalFormatting>
  <conditionalFormatting sqref="H234">
    <cfRule type="cellIs" dxfId="1" priority="1" operator="lessThan">
      <formula>$G$6/100</formula>
    </cfRule>
    <cfRule type="cellIs" dxfId="0" priority="2" operator="greaterThanOrEqual">
      <formula>$G$6/100</formula>
    </cfRule>
  </conditionalFormatting>
  <pageMargins left="0.74803149606299213" right="0.74803149606299213" top="0.51181102362204722" bottom="0.74803149606299213" header="0.51181102362204722" footer="0.51181102362204722"/>
  <pageSetup paperSize="9" firstPageNumber="6" orientation="portrait" r:id="rId1"/>
  <headerFooter>
    <oddFooter>&amp;CPage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23</vt:i4>
      </vt:variant>
    </vt:vector>
  </HeadingPairs>
  <TitlesOfParts>
    <vt:vector size="24" baseType="lpstr">
      <vt:lpstr>校准结果</vt:lpstr>
      <vt:lpstr>校准结果!Print_Area</vt:lpstr>
      <vt:lpstr>校准结果!Print_Titles</vt:lpstr>
      <vt:lpstr>单位</vt:lpstr>
      <vt:lpstr>量程最大值</vt:lpstr>
      <vt:lpstr>量程最小值</vt:lpstr>
      <vt:lpstr>通道1</vt:lpstr>
      <vt:lpstr>通道10</vt:lpstr>
      <vt:lpstr>通道11</vt:lpstr>
      <vt:lpstr>通道12</vt:lpstr>
      <vt:lpstr>通道13</vt:lpstr>
      <vt:lpstr>通道14</vt:lpstr>
      <vt:lpstr>通道15</vt:lpstr>
      <vt:lpstr>通道16</vt:lpstr>
      <vt:lpstr>通道2</vt:lpstr>
      <vt:lpstr>通道3</vt:lpstr>
      <vt:lpstr>通道4</vt:lpstr>
      <vt:lpstr>通道5</vt:lpstr>
      <vt:lpstr>通道6</vt:lpstr>
      <vt:lpstr>通道7</vt:lpstr>
      <vt:lpstr>通道8</vt:lpstr>
      <vt:lpstr>通道9</vt:lpstr>
      <vt:lpstr>校准日期</vt:lpstr>
      <vt:lpstr>准确度等级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WTN</dc:creator>
  <cp:lastModifiedBy>Administrator</cp:lastModifiedBy>
  <cp:lastPrinted>2024-07-16T01:12:57Z</cp:lastPrinted>
  <dcterms:created xsi:type="dcterms:W3CDTF">2022-12-06T12:02:00Z</dcterms:created>
  <dcterms:modified xsi:type="dcterms:W3CDTF">2024-07-25T06:03:48Z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2052-11.1.0.9914</vt:lpwstr>
  </property>
</Properties>
</file>