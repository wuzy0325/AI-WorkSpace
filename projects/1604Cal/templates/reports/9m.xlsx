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s" sheetId="16" r:id="rId1"/>
  </sheets>
  <definedNames>
    <definedName name="_xlnm.Print_Titles" localSheetId="0">'Calibration results'!$1:$4</definedName>
    <definedName name="单位">'Calibration results'!$N$5</definedName>
    <definedName name="量程最大值">'Calibration results'!$N$6</definedName>
    <definedName name="量程最小值">'Calibration results'!$L$6</definedName>
    <definedName name="通道1">'Calibration results'!$A$10</definedName>
    <definedName name="通道10">'Calibration results'!$A$141</definedName>
    <definedName name="通道11">'Calibration results'!$A$155</definedName>
    <definedName name="通道12">'Calibration results'!$A$169</definedName>
    <definedName name="通道13">'Calibration results'!$A$185</definedName>
    <definedName name="通道14">'Calibration results'!$A$199</definedName>
    <definedName name="通道15">'Calibration results'!$A$213</definedName>
    <definedName name="通道16">'Calibration results'!$A$228</definedName>
    <definedName name="通道2">'Calibration results'!$A$24</definedName>
    <definedName name="通道3">'Calibration results'!$A$38</definedName>
    <definedName name="通道4">'Calibration results'!$A$53</definedName>
    <definedName name="通道5">'Calibration results'!$A$67</definedName>
    <definedName name="通道6">'Calibration results'!$A$81</definedName>
    <definedName name="通道7">'Calibration results'!$A$97</definedName>
    <definedName name="通道8">'Calibration results'!$A$111</definedName>
    <definedName name="通道9">'Calibration results'!$A$125</definedName>
    <definedName name="校准日期">'Calibration results'!$L$5</definedName>
    <definedName name="准确度等级">'Calibration results'!$J$6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6" i="16" l="1"/>
  <c r="J236" i="16"/>
  <c r="I236" i="16"/>
  <c r="L235" i="16"/>
  <c r="J235" i="16"/>
  <c r="I235" i="16"/>
  <c r="L234" i="16"/>
  <c r="J234" i="16"/>
  <c r="I234" i="16"/>
  <c r="L233" i="16"/>
  <c r="J233" i="16"/>
  <c r="I233" i="16"/>
  <c r="L232" i="16"/>
  <c r="J232" i="16"/>
  <c r="I232" i="16"/>
  <c r="L231" i="16"/>
  <c r="J231" i="16"/>
  <c r="I231" i="16"/>
  <c r="L230" i="16"/>
  <c r="J230" i="16"/>
  <c r="I230" i="16"/>
  <c r="L229" i="16"/>
  <c r="J229" i="16"/>
  <c r="I229" i="16"/>
  <c r="L228" i="16"/>
  <c r="M228" i="16" s="1"/>
  <c r="J228" i="16"/>
  <c r="K228" i="16" s="1"/>
  <c r="I228" i="16"/>
  <c r="I227" i="16"/>
  <c r="J225" i="16"/>
  <c r="L221" i="16"/>
  <c r="J221" i="16"/>
  <c r="I221" i="16"/>
  <c r="L220" i="16"/>
  <c r="J220" i="16"/>
  <c r="I220" i="16"/>
  <c r="L219" i="16"/>
  <c r="J219" i="16"/>
  <c r="I219" i="16"/>
  <c r="L218" i="16"/>
  <c r="J218" i="16"/>
  <c r="I218" i="16"/>
  <c r="L217" i="16"/>
  <c r="J217" i="16"/>
  <c r="I217" i="16"/>
  <c r="L216" i="16"/>
  <c r="J216" i="16"/>
  <c r="I216" i="16"/>
  <c r="L215" i="16"/>
  <c r="J215" i="16"/>
  <c r="I215" i="16"/>
  <c r="L214" i="16"/>
  <c r="J214" i="16"/>
  <c r="I214" i="16"/>
  <c r="L213" i="16"/>
  <c r="M213" i="16" s="1"/>
  <c r="J213" i="16"/>
  <c r="K213" i="16" s="1"/>
  <c r="I213" i="16"/>
  <c r="I212" i="16"/>
  <c r="J210" i="16"/>
  <c r="L207" i="16"/>
  <c r="J207" i="16"/>
  <c r="I207" i="16"/>
  <c r="L206" i="16"/>
  <c r="J206" i="16"/>
  <c r="I206" i="16"/>
  <c r="L205" i="16"/>
  <c r="J205" i="16"/>
  <c r="I205" i="16"/>
  <c r="L204" i="16"/>
  <c r="J204" i="16"/>
  <c r="I204" i="16"/>
  <c r="L203" i="16"/>
  <c r="J203" i="16"/>
  <c r="I203" i="16"/>
  <c r="L202" i="16"/>
  <c r="J202" i="16"/>
  <c r="I202" i="16"/>
  <c r="L201" i="16"/>
  <c r="J201" i="16"/>
  <c r="I201" i="16"/>
  <c r="L200" i="16"/>
  <c r="M199" i="16" s="1"/>
  <c r="J200" i="16"/>
  <c r="I200" i="16"/>
  <c r="L199" i="16"/>
  <c r="J199" i="16"/>
  <c r="K199" i="16" s="1"/>
  <c r="I199" i="16"/>
  <c r="I198" i="16"/>
  <c r="J196" i="16"/>
  <c r="L193" i="16"/>
  <c r="J193" i="16"/>
  <c r="I193" i="16"/>
  <c r="L192" i="16"/>
  <c r="J192" i="16"/>
  <c r="I192" i="16"/>
  <c r="L191" i="16"/>
  <c r="J191" i="16"/>
  <c r="I191" i="16"/>
  <c r="L190" i="16"/>
  <c r="J190" i="16"/>
  <c r="I190" i="16"/>
  <c r="L189" i="16"/>
  <c r="J189" i="16"/>
  <c r="I189" i="16"/>
  <c r="L188" i="16"/>
  <c r="J188" i="16"/>
  <c r="I188" i="16"/>
  <c r="L187" i="16"/>
  <c r="J187" i="16"/>
  <c r="I187" i="16"/>
  <c r="L186" i="16"/>
  <c r="M185" i="16" s="1"/>
  <c r="J186" i="16"/>
  <c r="I186" i="16"/>
  <c r="L185" i="16"/>
  <c r="J185" i="16"/>
  <c r="K185" i="16" s="1"/>
  <c r="I185" i="16"/>
  <c r="I184" i="16"/>
  <c r="J182" i="16"/>
  <c r="L177" i="16"/>
  <c r="J177" i="16"/>
  <c r="I177" i="16"/>
  <c r="L176" i="16"/>
  <c r="J176" i="16"/>
  <c r="I176" i="16"/>
  <c r="L175" i="16"/>
  <c r="J175" i="16"/>
  <c r="I175" i="16"/>
  <c r="L174" i="16"/>
  <c r="J174" i="16"/>
  <c r="I174" i="16"/>
  <c r="L173" i="16"/>
  <c r="J173" i="16"/>
  <c r="I173" i="16"/>
  <c r="L172" i="16"/>
  <c r="J172" i="16"/>
  <c r="I172" i="16"/>
  <c r="L171" i="16"/>
  <c r="J171" i="16"/>
  <c r="I171" i="16"/>
  <c r="L170" i="16"/>
  <c r="J170" i="16"/>
  <c r="I170" i="16"/>
  <c r="M169" i="16"/>
  <c r="L169" i="16"/>
  <c r="J169" i="16"/>
  <c r="K169" i="16" s="1"/>
  <c r="I169" i="16"/>
  <c r="I168" i="16"/>
  <c r="J166" i="16"/>
  <c r="L163" i="16"/>
  <c r="J163" i="16"/>
  <c r="I163" i="16"/>
  <c r="L162" i="16"/>
  <c r="J162" i="16"/>
  <c r="I162" i="16"/>
  <c r="L161" i="16"/>
  <c r="J161" i="16"/>
  <c r="I161" i="16"/>
  <c r="L160" i="16"/>
  <c r="J160" i="16"/>
  <c r="I160" i="16"/>
  <c r="L159" i="16"/>
  <c r="J159" i="16"/>
  <c r="I159" i="16"/>
  <c r="L158" i="16"/>
  <c r="J158" i="16"/>
  <c r="I158" i="16"/>
  <c r="L157" i="16"/>
  <c r="J157" i="16"/>
  <c r="I157" i="16"/>
  <c r="L156" i="16"/>
  <c r="M155" i="16" s="1"/>
  <c r="J156" i="16"/>
  <c r="I156" i="16"/>
  <c r="L155" i="16"/>
  <c r="J155" i="16"/>
  <c r="K155" i="16" s="1"/>
  <c r="I155" i="16"/>
  <c r="I154" i="16"/>
  <c r="J152" i="16"/>
  <c r="L149" i="16"/>
  <c r="M141" i="16" s="1"/>
  <c r="J149" i="16"/>
  <c r="I149" i="16"/>
  <c r="L148" i="16"/>
  <c r="J148" i="16"/>
  <c r="I148" i="16"/>
  <c r="L147" i="16"/>
  <c r="J147" i="16"/>
  <c r="I147" i="16"/>
  <c r="L146" i="16"/>
  <c r="J146" i="16"/>
  <c r="I146" i="16"/>
  <c r="L145" i="16"/>
  <c r="J145" i="16"/>
  <c r="I145" i="16"/>
  <c r="L144" i="16"/>
  <c r="J144" i="16"/>
  <c r="I144" i="16"/>
  <c r="L143" i="16"/>
  <c r="J143" i="16"/>
  <c r="I143" i="16"/>
  <c r="L142" i="16"/>
  <c r="J142" i="16"/>
  <c r="I142" i="16"/>
  <c r="L141" i="16"/>
  <c r="J141" i="16"/>
  <c r="K141" i="16" s="1"/>
  <c r="I141" i="16"/>
  <c r="I140" i="16"/>
  <c r="J138" i="16"/>
  <c r="L133" i="16"/>
  <c r="J133" i="16"/>
  <c r="I133" i="16"/>
  <c r="L132" i="16"/>
  <c r="J132" i="16"/>
  <c r="I132" i="16"/>
  <c r="L131" i="16"/>
  <c r="J131" i="16"/>
  <c r="I131" i="16"/>
  <c r="L130" i="16"/>
  <c r="J130" i="16"/>
  <c r="I130" i="16"/>
  <c r="L129" i="16"/>
  <c r="J129" i="16"/>
  <c r="I129" i="16"/>
  <c r="L128" i="16"/>
  <c r="J128" i="16"/>
  <c r="I128" i="16"/>
  <c r="L127" i="16"/>
  <c r="J127" i="16"/>
  <c r="I127" i="16"/>
  <c r="L126" i="16"/>
  <c r="J126" i="16"/>
  <c r="I126" i="16"/>
  <c r="L125" i="16"/>
  <c r="M125" i="16" s="1"/>
  <c r="J125" i="16"/>
  <c r="K125" i="16" s="1"/>
  <c r="I125" i="16"/>
  <c r="I124" i="16"/>
  <c r="J122" i="16"/>
  <c r="L119" i="16"/>
  <c r="J119" i="16"/>
  <c r="I119" i="16"/>
  <c r="L118" i="16"/>
  <c r="J118" i="16"/>
  <c r="I118" i="16"/>
  <c r="L117" i="16"/>
  <c r="J117" i="16"/>
  <c r="I117" i="16"/>
  <c r="L116" i="16"/>
  <c r="J116" i="16"/>
  <c r="I116" i="16"/>
  <c r="L115" i="16"/>
  <c r="J115" i="16"/>
  <c r="I115" i="16"/>
  <c r="L114" i="16"/>
  <c r="J114" i="16"/>
  <c r="I114" i="16"/>
  <c r="L113" i="16"/>
  <c r="J113" i="16"/>
  <c r="I113" i="16"/>
  <c r="L112" i="16"/>
  <c r="J112" i="16"/>
  <c r="K111" i="16" s="1"/>
  <c r="I112" i="16"/>
  <c r="L111" i="16"/>
  <c r="M111" i="16" s="1"/>
  <c r="J111" i="16"/>
  <c r="I111" i="16"/>
  <c r="I110" i="16"/>
  <c r="J108" i="16"/>
  <c r="L105" i="16"/>
  <c r="J105" i="16"/>
  <c r="I105" i="16"/>
  <c r="L104" i="16"/>
  <c r="J104" i="16"/>
  <c r="I104" i="16"/>
  <c r="L103" i="16"/>
  <c r="J103" i="16"/>
  <c r="I103" i="16"/>
  <c r="L102" i="16"/>
  <c r="J102" i="16"/>
  <c r="I102" i="16"/>
  <c r="L101" i="16"/>
  <c r="J101" i="16"/>
  <c r="I101" i="16"/>
  <c r="L100" i="16"/>
  <c r="J100" i="16"/>
  <c r="I100" i="16"/>
  <c r="L99" i="16"/>
  <c r="J99" i="16"/>
  <c r="I99" i="16"/>
  <c r="L98" i="16"/>
  <c r="M97" i="16" s="1"/>
  <c r="J98" i="16"/>
  <c r="I98" i="16"/>
  <c r="L97" i="16"/>
  <c r="J97" i="16"/>
  <c r="K97" i="16" s="1"/>
  <c r="I97" i="16"/>
  <c r="I96" i="16"/>
  <c r="J94" i="16"/>
  <c r="L89" i="16"/>
  <c r="J89" i="16"/>
  <c r="I89" i="16"/>
  <c r="L88" i="16"/>
  <c r="J88" i="16"/>
  <c r="I88" i="16"/>
  <c r="L87" i="16"/>
  <c r="J87" i="16"/>
  <c r="I87" i="16"/>
  <c r="L86" i="16"/>
  <c r="J86" i="16"/>
  <c r="I86" i="16"/>
  <c r="L85" i="16"/>
  <c r="J85" i="16"/>
  <c r="I85" i="16"/>
  <c r="L84" i="16"/>
  <c r="J84" i="16"/>
  <c r="I84" i="16"/>
  <c r="L83" i="16"/>
  <c r="J83" i="16"/>
  <c r="I83" i="16"/>
  <c r="L82" i="16"/>
  <c r="J82" i="16"/>
  <c r="I82" i="16"/>
  <c r="L81" i="16"/>
  <c r="M81" i="16" s="1"/>
  <c r="J81" i="16"/>
  <c r="K81" i="16" s="1"/>
  <c r="I81" i="16"/>
  <c r="I80" i="16"/>
  <c r="J78" i="16"/>
  <c r="L75" i="16"/>
  <c r="M67" i="16" s="1"/>
  <c r="J75" i="16"/>
  <c r="I75" i="16"/>
  <c r="L74" i="16"/>
  <c r="J74" i="16"/>
  <c r="I74" i="16"/>
  <c r="L73" i="16"/>
  <c r="J73" i="16"/>
  <c r="I73" i="16"/>
  <c r="L72" i="16"/>
  <c r="J72" i="16"/>
  <c r="I72" i="16"/>
  <c r="L71" i="16"/>
  <c r="J71" i="16"/>
  <c r="I71" i="16"/>
  <c r="L70" i="16"/>
  <c r="J70" i="16"/>
  <c r="I70" i="16"/>
  <c r="L69" i="16"/>
  <c r="J69" i="16"/>
  <c r="I69" i="16"/>
  <c r="L68" i="16"/>
  <c r="J68" i="16"/>
  <c r="I68" i="16"/>
  <c r="L67" i="16"/>
  <c r="J67" i="16"/>
  <c r="K67" i="16" s="1"/>
  <c r="I67" i="16"/>
  <c r="I66" i="16"/>
  <c r="J64" i="16"/>
  <c r="L61" i="16"/>
  <c r="J61" i="16"/>
  <c r="I61" i="16"/>
  <c r="L60" i="16"/>
  <c r="J60" i="16"/>
  <c r="I60" i="16"/>
  <c r="L59" i="16"/>
  <c r="J59" i="16"/>
  <c r="I59" i="16"/>
  <c r="L58" i="16"/>
  <c r="J58" i="16"/>
  <c r="I58" i="16"/>
  <c r="L57" i="16"/>
  <c r="J57" i="16"/>
  <c r="I57" i="16"/>
  <c r="L56" i="16"/>
  <c r="J56" i="16"/>
  <c r="I56" i="16"/>
  <c r="L55" i="16"/>
  <c r="J55" i="16"/>
  <c r="I55" i="16"/>
  <c r="L54" i="16"/>
  <c r="J54" i="16"/>
  <c r="I54" i="16"/>
  <c r="L53" i="16"/>
  <c r="M53" i="16" s="1"/>
  <c r="J53" i="16"/>
  <c r="K53" i="16" s="1"/>
  <c r="I53" i="16"/>
  <c r="I52" i="16"/>
  <c r="J50" i="16"/>
  <c r="L46" i="16"/>
  <c r="J46" i="16"/>
  <c r="I46" i="16"/>
  <c r="L45" i="16"/>
  <c r="J45" i="16"/>
  <c r="I45" i="16"/>
  <c r="L44" i="16"/>
  <c r="J44" i="16"/>
  <c r="I44" i="16"/>
  <c r="L43" i="16"/>
  <c r="J43" i="16"/>
  <c r="I43" i="16"/>
  <c r="L42" i="16"/>
  <c r="J42" i="16"/>
  <c r="I42" i="16"/>
  <c r="L41" i="16"/>
  <c r="J41" i="16"/>
  <c r="I41" i="16"/>
  <c r="L40" i="16"/>
  <c r="J40" i="16"/>
  <c r="I40" i="16"/>
  <c r="L39" i="16"/>
  <c r="M38" i="16" s="1"/>
  <c r="J39" i="16"/>
  <c r="I39" i="16"/>
  <c r="L38" i="16"/>
  <c r="J38" i="16"/>
  <c r="K38" i="16" s="1"/>
  <c r="I38" i="16"/>
  <c r="I37" i="16"/>
  <c r="J35" i="16"/>
  <c r="L32" i="16"/>
  <c r="J32" i="16"/>
  <c r="I32" i="16"/>
  <c r="L31" i="16"/>
  <c r="J31" i="16"/>
  <c r="I31" i="16"/>
  <c r="L30" i="16"/>
  <c r="J30" i="16"/>
  <c r="I30" i="16"/>
  <c r="L29" i="16"/>
  <c r="J29" i="16"/>
  <c r="I29" i="16"/>
  <c r="L28" i="16"/>
  <c r="J28" i="16"/>
  <c r="I28" i="16"/>
  <c r="L27" i="16"/>
  <c r="J27" i="16"/>
  <c r="I27" i="16"/>
  <c r="L26" i="16"/>
  <c r="J26" i="16"/>
  <c r="I26" i="16"/>
  <c r="L25" i="16"/>
  <c r="J25" i="16"/>
  <c r="I25" i="16"/>
  <c r="L24" i="16"/>
  <c r="M24" i="16" s="1"/>
  <c r="J24" i="16"/>
  <c r="K24" i="16" s="1"/>
  <c r="I24" i="16"/>
  <c r="I23" i="16"/>
  <c r="J21" i="16"/>
  <c r="E225" i="16"/>
  <c r="E210" i="16"/>
  <c r="E196" i="16"/>
  <c r="E182" i="16"/>
  <c r="E166" i="16"/>
  <c r="E152" i="16"/>
  <c r="E138" i="16"/>
  <c r="E122" i="16"/>
  <c r="E108" i="16"/>
  <c r="E94" i="16"/>
  <c r="E78" i="16"/>
  <c r="E64" i="16"/>
  <c r="E50" i="16"/>
  <c r="E35" i="16"/>
  <c r="E21" i="16"/>
  <c r="E7" i="16"/>
  <c r="I9" i="16"/>
  <c r="I11" i="16" l="1"/>
  <c r="I12" i="16"/>
  <c r="I13" i="16"/>
  <c r="I14" i="16"/>
  <c r="I15" i="16"/>
  <c r="I16" i="16"/>
  <c r="I17" i="16"/>
  <c r="I18" i="16"/>
  <c r="I10" i="16"/>
  <c r="J7" i="16"/>
  <c r="E236" i="16" l="1"/>
  <c r="D236" i="16"/>
  <c r="E235" i="16"/>
  <c r="D235" i="16"/>
  <c r="E234" i="16"/>
  <c r="D234" i="16"/>
  <c r="E233" i="16"/>
  <c r="D233" i="16"/>
  <c r="E232" i="16"/>
  <c r="D232" i="16"/>
  <c r="E231" i="16"/>
  <c r="D231" i="16"/>
  <c r="E230" i="16"/>
  <c r="D230" i="16"/>
  <c r="E229" i="16"/>
  <c r="D229" i="16"/>
  <c r="E228" i="16"/>
  <c r="D228" i="16"/>
  <c r="E221" i="16"/>
  <c r="D221" i="16"/>
  <c r="E220" i="16"/>
  <c r="D220" i="16"/>
  <c r="E219" i="16"/>
  <c r="D219" i="16"/>
  <c r="E218" i="16"/>
  <c r="D218" i="16"/>
  <c r="E217" i="16"/>
  <c r="D217" i="16"/>
  <c r="E216" i="16"/>
  <c r="D216" i="16"/>
  <c r="E215" i="16"/>
  <c r="D215" i="16"/>
  <c r="E214" i="16"/>
  <c r="D214" i="16"/>
  <c r="E213" i="16"/>
  <c r="D213" i="16"/>
  <c r="E207" i="16"/>
  <c r="D207" i="16"/>
  <c r="E206" i="16"/>
  <c r="D206" i="16"/>
  <c r="E205" i="16"/>
  <c r="D205" i="16"/>
  <c r="E204" i="16"/>
  <c r="D204" i="16"/>
  <c r="E203" i="16"/>
  <c r="D203" i="16"/>
  <c r="E202" i="16"/>
  <c r="D202" i="16"/>
  <c r="E201" i="16"/>
  <c r="D201" i="16"/>
  <c r="E200" i="16"/>
  <c r="D200" i="16"/>
  <c r="E199" i="16"/>
  <c r="D199" i="16"/>
  <c r="E193" i="16"/>
  <c r="D193" i="16"/>
  <c r="E192" i="16"/>
  <c r="D192" i="16"/>
  <c r="E191" i="16"/>
  <c r="D191" i="16"/>
  <c r="E190" i="16"/>
  <c r="D190" i="16"/>
  <c r="E189" i="16"/>
  <c r="D189" i="16"/>
  <c r="E188" i="16"/>
  <c r="D188" i="16"/>
  <c r="E187" i="16"/>
  <c r="D187" i="16"/>
  <c r="E186" i="16"/>
  <c r="D186" i="16"/>
  <c r="E185" i="16"/>
  <c r="D185" i="16"/>
  <c r="E177" i="16"/>
  <c r="D177" i="16"/>
  <c r="E176" i="16"/>
  <c r="D176" i="16"/>
  <c r="E175" i="16"/>
  <c r="D175" i="16"/>
  <c r="E174" i="16"/>
  <c r="D174" i="16"/>
  <c r="E173" i="16"/>
  <c r="D173" i="16"/>
  <c r="E172" i="16"/>
  <c r="D172" i="16"/>
  <c r="E171" i="16"/>
  <c r="D171" i="16"/>
  <c r="E170" i="16"/>
  <c r="D170" i="16"/>
  <c r="E169" i="16"/>
  <c r="D169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49" i="16"/>
  <c r="D149" i="16"/>
  <c r="E148" i="16"/>
  <c r="D148" i="16"/>
  <c r="E147" i="16"/>
  <c r="D147" i="16"/>
  <c r="E146" i="16"/>
  <c r="D146" i="16"/>
  <c r="E145" i="16"/>
  <c r="D145" i="16"/>
  <c r="E144" i="16"/>
  <c r="D144" i="16"/>
  <c r="E143" i="16"/>
  <c r="D143" i="16"/>
  <c r="E142" i="16"/>
  <c r="D142" i="16"/>
  <c r="E141" i="16"/>
  <c r="D141" i="16"/>
  <c r="E133" i="16"/>
  <c r="D133" i="16"/>
  <c r="E132" i="16"/>
  <c r="D132" i="16"/>
  <c r="E131" i="16"/>
  <c r="D131" i="16"/>
  <c r="E130" i="16"/>
  <c r="D130" i="16"/>
  <c r="E129" i="16"/>
  <c r="D129" i="16"/>
  <c r="E128" i="16"/>
  <c r="D128" i="16"/>
  <c r="E127" i="16"/>
  <c r="D127" i="16"/>
  <c r="E126" i="16"/>
  <c r="D126" i="16"/>
  <c r="E125" i="16"/>
  <c r="D125" i="16"/>
  <c r="E119" i="16"/>
  <c r="D119" i="16"/>
  <c r="E118" i="16"/>
  <c r="D118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11" i="16"/>
  <c r="D111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18" i="16"/>
  <c r="L18" i="16" s="1"/>
  <c r="D18" i="16"/>
  <c r="J18" i="16" s="1"/>
  <c r="E17" i="16"/>
  <c r="L17" i="16" s="1"/>
  <c r="D17" i="16"/>
  <c r="J17" i="16" s="1"/>
  <c r="E16" i="16"/>
  <c r="L16" i="16" s="1"/>
  <c r="D16" i="16"/>
  <c r="J16" i="16" s="1"/>
  <c r="E15" i="16"/>
  <c r="L15" i="16" s="1"/>
  <c r="D15" i="16"/>
  <c r="J15" i="16" s="1"/>
  <c r="E14" i="16"/>
  <c r="L14" i="16" s="1"/>
  <c r="D14" i="16"/>
  <c r="J14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L10" i="16" l="1"/>
  <c r="M10" i="16" s="1"/>
  <c r="K10" i="16"/>
</calcChain>
</file>

<file path=xl/sharedStrings.xml><?xml version="1.0" encoding="utf-8"?>
<sst xmlns="http://schemas.openxmlformats.org/spreadsheetml/2006/main" count="290" uniqueCount="46">
  <si>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</si>
  <si>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</si>
  <si>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</si>
  <si>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</si>
  <si>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t>CH1</t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</si>
  <si>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</si>
  <si>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</si>
  <si>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</si>
  <si>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</si>
  <si>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</si>
  <si>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</si>
  <si>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</si>
  <si>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</si>
  <si>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</si>
  <si>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</si>
  <si>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</si>
  <si>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</si>
  <si>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</si>
  <si>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</si>
  <si>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</si>
  <si>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</si>
  <si>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</si>
  <si>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单位：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</si>
  <si>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</si>
  <si>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</si>
  <si>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</si>
  <si>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证书编号：</t>
    <phoneticPr fontId="8" type="noConversion"/>
  </si>
  <si>
    <t>Certificate No.</t>
    <phoneticPr fontId="8" type="noConversion"/>
  </si>
  <si>
    <t>Channel number：</t>
  </si>
  <si>
    <t>Unit：</t>
    <phoneticPr fontId="8" type="noConversion"/>
  </si>
  <si>
    <t>Standard pressure</t>
  </si>
  <si>
    <t>Forward stroke</t>
  </si>
  <si>
    <t>Backward stroke</t>
  </si>
  <si>
    <t>Indication error</t>
  </si>
  <si>
    <t>Return error</t>
  </si>
  <si>
    <t>Equipment Number：：</t>
  </si>
  <si>
    <t>Calibration Date：</t>
  </si>
  <si>
    <t>Accuracy：</t>
  </si>
  <si>
    <t>Min(Range)</t>
    <phoneticPr fontId="8" type="noConversion"/>
  </si>
  <si>
    <t>Max(Range)</t>
    <phoneticPr fontId="8" type="noConversion"/>
  </si>
  <si>
    <t>Example</t>
    <phoneticPr fontId="8" type="noConversion"/>
  </si>
  <si>
    <t>Unqualified</t>
    <phoneticPr fontId="8" type="noConversion"/>
  </si>
  <si>
    <t>Qualified</t>
    <phoneticPr fontId="8" type="noConversion"/>
  </si>
  <si>
    <t>Notes</t>
  </si>
  <si>
    <t>丨Indication error丨
/FS</t>
  </si>
  <si>
    <t>丨Return error丨
/FS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</si>
</sst>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176" fontId="11" fillId="0" borderId="10" xfId="2" applyNumberFormat="1" applyFont="1" applyBorder="1" applyAlignment="1" applyProtection="1">
      <alignment horizontal="center" vertical="center" wrapText="1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9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242</xdr:row>
      <xdr:rowOff>171450</xdr:rowOff>
    </xdr:from>
    <xdr:to>
      <xdr:col>3</xdr:col>
      <xdr:colOff>949325</xdr:colOff>
      <xdr:row>242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1400175" y="4457700"/>
          <a:ext cx="133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tabSelected="1" topLeftCell="C1" workbookViewId="0">
      <selection activeCell="M6" sqref="M6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26</v>
      </c>
      <c r="F1" s="67"/>
      <c r="G1" s="67"/>
      <c r="L1" s="37" t="s">
        <v>40</v>
      </c>
      <c r="M1" s="19" t="s">
        <v>41</v>
      </c>
      <c r="N1" s="19" t="s">
        <v>42</v>
      </c>
    </row>
    <row r="2" spans="1:15" ht="15" customHeight="1" x14ac:dyDescent="0.15">
      <c r="E2" s="3" t="s">
        <v>27</v>
      </c>
      <c r="F2" s="3"/>
      <c r="L2" s="38"/>
      <c r="M2" s="14">
        <v>5.4000000000000001E-4</v>
      </c>
      <c r="N2" s="14">
        <v>1E-4</v>
      </c>
    </row>
    <row r="3" spans="1:15" ht="23.1" customHeight="1" x14ac:dyDescent="0.15">
      <c r="A3" s="48" t="s">
        <v>20</v>
      </c>
      <c r="B3" s="64"/>
      <c r="C3" s="64"/>
      <c r="D3" s="64"/>
      <c r="E3" s="64"/>
      <c r="F3" s="64"/>
      <c r="G3" s="64"/>
      <c r="I3" s="48" t="s">
        <v>21</v>
      </c>
      <c r="J3" s="48"/>
      <c r="K3" s="48"/>
      <c r="L3" s="48"/>
      <c r="M3" s="48"/>
      <c r="N3" s="15"/>
      <c r="O3" s="15"/>
    </row>
    <row r="4" spans="1:15" ht="11.1" customHeight="1" x14ac:dyDescent="0.15">
      <c r="A4" s="65" t="s">
        <v>0</v>
      </c>
      <c r="B4" s="65"/>
      <c r="C4" s="65"/>
      <c r="D4" s="65"/>
      <c r="E4" s="65"/>
      <c r="F4" s="65"/>
      <c r="G4" s="65"/>
      <c r="I4" s="53" t="s">
        <v>25</v>
      </c>
      <c r="J4" s="53"/>
      <c r="K4" s="53"/>
      <c r="L4" s="53"/>
      <c r="M4" s="53"/>
    </row>
    <row r="5" spans="1:15" ht="33" customHeight="1" x14ac:dyDescent="0.15">
      <c r="A5" s="2"/>
      <c r="B5" s="2"/>
      <c r="C5" s="2"/>
      <c r="D5" s="2"/>
      <c r="E5" s="2"/>
      <c r="F5" s="2"/>
      <c r="G5" s="2"/>
      <c r="I5" s="22" t="s">
        <v>35</v>
      </c>
      <c r="J5" s="21"/>
      <c r="K5" s="22" t="s">
        <v>36</v>
      </c>
      <c r="L5" s="20"/>
      <c r="M5" s="22" t="s">
        <v>29</v>
      </c>
      <c r="N5" s="21" t="s">
        <v>24</v>
      </c>
    </row>
    <row r="6" spans="1:15" s="6" customFormat="1" ht="29.25" customHeight="1" x14ac:dyDescent="0.15">
      <c r="A6" s="7"/>
      <c r="B6" s="7"/>
      <c r="C6" s="7"/>
      <c r="D6" s="7"/>
      <c r="E6" s="7"/>
      <c r="F6" s="7"/>
      <c r="G6" s="7"/>
      <c r="I6" s="22" t="s">
        <v>37</v>
      </c>
      <c r="J6" s="17">
        <v>0.05</v>
      </c>
      <c r="K6" s="22" t="s">
        <v>38</v>
      </c>
      <c r="L6" s="16">
        <v>0</v>
      </c>
      <c r="M6" s="22" t="s">
        <v>39</v>
      </c>
      <c r="N6" s="17">
        <v>100</v>
      </c>
    </row>
    <row r="7" spans="1:15" s="6" customFormat="1" ht="38.25" customHeight="1" x14ac:dyDescent="0.15">
      <c r="A7" s="68" t="s">
        <v>28</v>
      </c>
      <c r="B7" s="5" t="s">
        <v>4</v>
      </c>
      <c r="C7" s="11"/>
      <c r="D7" s="12" t="s">
        <v>29</v>
      </c>
      <c r="E7" s="52" t="str">
        <f>$N$5</f>
        <v>psi</v>
      </c>
      <c r="F7" s="52"/>
      <c r="G7" s="4"/>
      <c r="I7" s="18" t="s">
        <v>28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66" t="s">
        <v>30</v>
      </c>
      <c r="B8" s="54" t="s">
        <v>30</v>
      </c>
      <c r="C8" s="56"/>
      <c r="D8" s="57" t="s">
        <v>33</v>
      </c>
      <c r="E8" s="59" t="s">
        <v>34</v>
      </c>
      <c r="F8" s="60"/>
      <c r="G8" s="50" t="s">
        <v>3</v>
      </c>
      <c r="I8" s="36" t="s">
        <v>30</v>
      </c>
      <c r="J8" s="43" t="s">
        <v>44</v>
      </c>
      <c r="K8" s="42" t="s">
        <v>23</v>
      </c>
      <c r="L8" s="41" t="s">
        <v>45</v>
      </c>
      <c r="M8" s="39" t="s">
        <v>23</v>
      </c>
      <c r="N8" s="40" t="s">
        <v>43</v>
      </c>
    </row>
    <row r="9" spans="1:15" s="6" customFormat="1" x14ac:dyDescent="0.15">
      <c r="A9" s="54"/>
      <c r="B9" s="69" t="s">
        <v>31</v>
      </c>
      <c r="C9" s="70" t="s">
        <v>32</v>
      </c>
      <c r="D9" s="58"/>
      <c r="E9" s="61"/>
      <c r="F9" s="62"/>
      <c r="G9" s="51"/>
      <c r="I9" s="35" t="str">
        <f>"（"&amp;$N$5&amp;"）"</f>
        <v>（psi）</v>
      </c>
      <c r="J9" s="44"/>
      <c r="K9" s="42"/>
      <c r="L9" s="41"/>
      <c r="M9" s="39"/>
      <c r="N9" s="39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49">
        <f>ABS(B10-C10)</f>
        <v>0</v>
      </c>
      <c r="F10" s="49"/>
      <c r="G10" s="10">
        <v>1.2999999999999999E-2</v>
      </c>
      <c r="I10" s="26">
        <f t="shared" ref="I10:I18" si="0">A10</f>
        <v>0</v>
      </c>
      <c r="J10" s="14">
        <f>ABS(D10)/($N$6-$L$6)</f>
        <v>0</v>
      </c>
      <c r="K10" s="45">
        <f>MAX(J10:J18)</f>
        <v>0</v>
      </c>
      <c r="L10" s="14">
        <f>ABS(E10)/($N$6-$L$6)</f>
        <v>0</v>
      </c>
      <c r="M10" s="45">
        <f>MAX(L10:L18)</f>
        <v>0</v>
      </c>
      <c r="N10" s="39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8" si="1">IF(ABS(B11-A11)&gt;ABS(C11-A11),B11-A11,C11-A11)</f>
        <v>0</v>
      </c>
      <c r="E11" s="49">
        <f t="shared" ref="E11:E18" si="2">ABS(B11-C11)</f>
        <v>0</v>
      </c>
      <c r="F11" s="49"/>
      <c r="G11" s="10">
        <v>1.2999999999999999E-2</v>
      </c>
      <c r="I11" s="26">
        <f t="shared" si="0"/>
        <v>0</v>
      </c>
      <c r="J11" s="14">
        <f t="shared" ref="J11:J18" si="3">ABS(D11)/($N$6-$L$6)</f>
        <v>0</v>
      </c>
      <c r="K11" s="46"/>
      <c r="L11" s="14">
        <f t="shared" ref="L11:L18" si="4">ABS(E11)/($N$6-$L$6)</f>
        <v>0</v>
      </c>
      <c r="M11" s="46"/>
      <c r="N11" s="39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49">
        <f t="shared" si="2"/>
        <v>0</v>
      </c>
      <c r="F12" s="49"/>
      <c r="G12" s="10">
        <v>1.2999999999999999E-2</v>
      </c>
      <c r="I12" s="26">
        <f t="shared" si="0"/>
        <v>0</v>
      </c>
      <c r="J12" s="14">
        <f t="shared" si="3"/>
        <v>0</v>
      </c>
      <c r="K12" s="46"/>
      <c r="L12" s="14">
        <f t="shared" si="4"/>
        <v>0</v>
      </c>
      <c r="M12" s="46"/>
      <c r="N12" s="39"/>
    </row>
    <row r="13" spans="1:15" s="6" customFormat="1" x14ac:dyDescent="0.15">
      <c r="A13" s="23">
        <v>0</v>
      </c>
      <c r="B13" s="23">
        <v>0</v>
      </c>
      <c r="C13" s="24">
        <v>0</v>
      </c>
      <c r="D13" s="25">
        <f t="shared" si="1"/>
        <v>0</v>
      </c>
      <c r="E13" s="49">
        <f t="shared" si="2"/>
        <v>0</v>
      </c>
      <c r="F13" s="49"/>
      <c r="G13" s="10">
        <v>1.2999999999999999E-2</v>
      </c>
      <c r="I13" s="26">
        <f t="shared" si="0"/>
        <v>0</v>
      </c>
      <c r="J13" s="14">
        <f t="shared" si="3"/>
        <v>0</v>
      </c>
      <c r="K13" s="46"/>
      <c r="L13" s="14">
        <f t="shared" si="4"/>
        <v>0</v>
      </c>
      <c r="M13" s="46"/>
      <c r="N13" s="39"/>
    </row>
    <row r="14" spans="1:15" s="6" customFormat="1" x14ac:dyDescent="0.15">
      <c r="A14" s="23">
        <v>0</v>
      </c>
      <c r="B14" s="23">
        <v>0</v>
      </c>
      <c r="C14" s="24">
        <v>0</v>
      </c>
      <c r="D14" s="25">
        <f t="shared" si="1"/>
        <v>0</v>
      </c>
      <c r="E14" s="49">
        <f t="shared" si="2"/>
        <v>0</v>
      </c>
      <c r="F14" s="49"/>
      <c r="G14" s="10">
        <v>1.2999999999999999E-2</v>
      </c>
      <c r="I14" s="26">
        <f t="shared" si="0"/>
        <v>0</v>
      </c>
      <c r="J14" s="14">
        <f t="shared" si="3"/>
        <v>0</v>
      </c>
      <c r="K14" s="46"/>
      <c r="L14" s="14">
        <f t="shared" si="4"/>
        <v>0</v>
      </c>
      <c r="M14" s="46"/>
      <c r="N14" s="39"/>
    </row>
    <row r="15" spans="1:15" s="6" customFormat="1" x14ac:dyDescent="0.15">
      <c r="A15" s="23">
        <v>0</v>
      </c>
      <c r="B15" s="23">
        <v>0</v>
      </c>
      <c r="C15" s="24">
        <v>0</v>
      </c>
      <c r="D15" s="25">
        <f t="shared" si="1"/>
        <v>0</v>
      </c>
      <c r="E15" s="49">
        <f t="shared" si="2"/>
        <v>0</v>
      </c>
      <c r="F15" s="49"/>
      <c r="G15" s="10">
        <v>1.2999999999999999E-2</v>
      </c>
      <c r="I15" s="26">
        <f t="shared" si="0"/>
        <v>0</v>
      </c>
      <c r="J15" s="14">
        <f t="shared" si="3"/>
        <v>0</v>
      </c>
      <c r="K15" s="46"/>
      <c r="L15" s="14">
        <f t="shared" si="4"/>
        <v>0</v>
      </c>
      <c r="M15" s="46"/>
      <c r="N15" s="39"/>
    </row>
    <row r="16" spans="1:15" s="6" customFormat="1" x14ac:dyDescent="0.15">
      <c r="A16" s="23">
        <v>0</v>
      </c>
      <c r="B16" s="23">
        <v>0</v>
      </c>
      <c r="C16" s="24">
        <v>0</v>
      </c>
      <c r="D16" s="25">
        <f t="shared" si="1"/>
        <v>0</v>
      </c>
      <c r="E16" s="49">
        <f t="shared" si="2"/>
        <v>0</v>
      </c>
      <c r="F16" s="49"/>
      <c r="G16" s="10">
        <v>1.2999999999999999E-2</v>
      </c>
      <c r="I16" s="26">
        <f t="shared" si="0"/>
        <v>0</v>
      </c>
      <c r="J16" s="14">
        <f t="shared" si="3"/>
        <v>0</v>
      </c>
      <c r="K16" s="46"/>
      <c r="L16" s="14">
        <f t="shared" si="4"/>
        <v>0</v>
      </c>
      <c r="M16" s="46"/>
      <c r="N16" s="39"/>
    </row>
    <row r="17" spans="1:14" x14ac:dyDescent="0.15">
      <c r="A17" s="23">
        <v>0</v>
      </c>
      <c r="B17" s="23">
        <v>0</v>
      </c>
      <c r="C17" s="24">
        <v>0</v>
      </c>
      <c r="D17" s="25">
        <f t="shared" si="1"/>
        <v>0</v>
      </c>
      <c r="E17" s="49">
        <f t="shared" si="2"/>
        <v>0</v>
      </c>
      <c r="F17" s="49"/>
      <c r="G17" s="10">
        <v>1.2999999999999999E-2</v>
      </c>
      <c r="I17" s="26">
        <f t="shared" si="0"/>
        <v>0</v>
      </c>
      <c r="J17" s="14">
        <f t="shared" si="3"/>
        <v>0</v>
      </c>
      <c r="K17" s="46"/>
      <c r="L17" s="14">
        <f t="shared" si="4"/>
        <v>0</v>
      </c>
      <c r="M17" s="46"/>
      <c r="N17" s="39"/>
    </row>
    <row r="18" spans="1:14" x14ac:dyDescent="0.15">
      <c r="A18" s="23">
        <v>0</v>
      </c>
      <c r="B18" s="23">
        <v>0</v>
      </c>
      <c r="C18" s="24">
        <v>0</v>
      </c>
      <c r="D18" s="25">
        <f t="shared" si="1"/>
        <v>0</v>
      </c>
      <c r="E18" s="49">
        <f t="shared" si="2"/>
        <v>0</v>
      </c>
      <c r="F18" s="49"/>
      <c r="G18" s="10">
        <v>1.2999999999999999E-2</v>
      </c>
      <c r="I18" s="26">
        <f t="shared" si="0"/>
        <v>0</v>
      </c>
      <c r="J18" s="14">
        <f t="shared" si="3"/>
        <v>0</v>
      </c>
      <c r="K18" s="47"/>
      <c r="L18" s="14">
        <f t="shared" si="4"/>
        <v>0</v>
      </c>
      <c r="M18" s="47"/>
      <c r="N18" s="39"/>
    </row>
    <row r="19" spans="1:14" x14ac:dyDescent="0.15">
      <c r="A19" s="28"/>
      <c r="B19" s="28"/>
      <c r="C19" s="29"/>
      <c r="D19" s="30"/>
      <c r="E19" s="30"/>
      <c r="F19" s="30"/>
      <c r="G19" s="31"/>
      <c r="I19" s="32"/>
      <c r="J19" s="33"/>
      <c r="K19" s="33"/>
      <c r="L19" s="33"/>
      <c r="M19" s="33"/>
      <c r="N19" s="34"/>
    </row>
    <row r="21" spans="1:14" x14ac:dyDescent="0.15">
      <c r="A21" s="11" t="s">
        <v>28</v>
      </c>
      <c r="B21" s="5" t="s">
        <v>5</v>
      </c>
      <c r="C21" s="11"/>
      <c r="D21" s="12" t="s">
        <v>22</v>
      </c>
      <c r="E21" s="52" t="str">
        <f>$N$5</f>
        <v>psi</v>
      </c>
      <c r="F21" s="52"/>
      <c r="G21" s="4"/>
      <c r="I21" s="18" t="s">
        <v>28</v>
      </c>
      <c r="J21" s="13" t="str">
        <f>B21</f>
        <v>CH2</v>
      </c>
      <c r="K21" s="6"/>
      <c r="L21" s="12"/>
      <c r="M21" s="5"/>
      <c r="N21" s="13"/>
    </row>
    <row r="22" spans="1:14" ht="15" customHeight="1" x14ac:dyDescent="0.15">
      <c r="A22" s="54" t="s">
        <v>30</v>
      </c>
      <c r="B22" s="54" t="s">
        <v>30</v>
      </c>
      <c r="C22" s="56"/>
      <c r="D22" s="57" t="s">
        <v>33</v>
      </c>
      <c r="E22" s="59" t="s">
        <v>34</v>
      </c>
      <c r="F22" s="60"/>
      <c r="G22" s="50" t="s">
        <v>3</v>
      </c>
      <c r="I22" s="36" t="s">
        <v>30</v>
      </c>
      <c r="J22" s="43" t="s">
        <v>44</v>
      </c>
      <c r="K22" s="42" t="s">
        <v>23</v>
      </c>
      <c r="L22" s="41" t="s">
        <v>45</v>
      </c>
      <c r="M22" s="39" t="s">
        <v>23</v>
      </c>
      <c r="N22" s="40" t="s">
        <v>43</v>
      </c>
    </row>
    <row r="23" spans="1:14" x14ac:dyDescent="0.15">
      <c r="A23" s="55"/>
      <c r="B23" s="8" t="s">
        <v>31</v>
      </c>
      <c r="C23" s="9" t="s">
        <v>32</v>
      </c>
      <c r="D23" s="58"/>
      <c r="E23" s="61"/>
      <c r="F23" s="62"/>
      <c r="G23" s="51"/>
      <c r="I23" s="35" t="str">
        <f>"（"&amp;$N$5&amp;"）"</f>
        <v>（psi）</v>
      </c>
      <c r="J23" s="44"/>
      <c r="K23" s="42"/>
      <c r="L23" s="41"/>
      <c r="M23" s="39"/>
      <c r="N23" s="39"/>
    </row>
    <row r="24" spans="1:14" x14ac:dyDescent="0.15">
      <c r="A24" s="23">
        <v>0</v>
      </c>
      <c r="B24" s="23">
        <v>0</v>
      </c>
      <c r="C24" s="24">
        <v>0</v>
      </c>
      <c r="D24" s="25">
        <f>IF(ABS(B24-A24)&gt;ABS(C24-A24),B24-A24,C24-A24)</f>
        <v>0</v>
      </c>
      <c r="E24" s="49">
        <f>ABS(B24-C24)</f>
        <v>0</v>
      </c>
      <c r="F24" s="49"/>
      <c r="G24" s="10">
        <v>1.2999999999999999E-2</v>
      </c>
      <c r="I24" s="26">
        <f t="shared" ref="I24:I32" si="5">A24</f>
        <v>0</v>
      </c>
      <c r="J24" s="14">
        <f>ABS(D24)/($N$6-$L$6)</f>
        <v>0</v>
      </c>
      <c r="K24" s="45">
        <f>MAX(J24:J32)</f>
        <v>0</v>
      </c>
      <c r="L24" s="14">
        <f>ABS(E24)/($N$6-$L$6)</f>
        <v>0</v>
      </c>
      <c r="M24" s="45">
        <f>MAX(L24:L32)</f>
        <v>0</v>
      </c>
      <c r="N24" s="39"/>
    </row>
    <row r="25" spans="1:14" x14ac:dyDescent="0.15">
      <c r="A25" s="23">
        <v>0</v>
      </c>
      <c r="B25" s="23">
        <v>0</v>
      </c>
      <c r="C25" s="24">
        <v>0</v>
      </c>
      <c r="D25" s="25">
        <f t="shared" ref="D25:D32" si="6">IF(ABS(B25-A25)&gt;ABS(C25-A25),B25-A25,C25-A25)</f>
        <v>0</v>
      </c>
      <c r="E25" s="49">
        <f t="shared" ref="E25:E32" si="7">ABS(B25-C25)</f>
        <v>0</v>
      </c>
      <c r="F25" s="49"/>
      <c r="G25" s="10">
        <v>1.2999999999999999E-2</v>
      </c>
      <c r="I25" s="26">
        <f t="shared" si="5"/>
        <v>0</v>
      </c>
      <c r="J25" s="14">
        <f t="shared" ref="J25:J32" si="8">ABS(D25)/($N$6-$L$6)</f>
        <v>0</v>
      </c>
      <c r="K25" s="46"/>
      <c r="L25" s="14">
        <f t="shared" ref="L25:L32" si="9">ABS(E25)/($N$6-$L$6)</f>
        <v>0</v>
      </c>
      <c r="M25" s="46"/>
      <c r="N25" s="39"/>
    </row>
    <row r="26" spans="1:14" x14ac:dyDescent="0.15">
      <c r="A26" s="23">
        <v>0</v>
      </c>
      <c r="B26" s="23">
        <v>0</v>
      </c>
      <c r="C26" s="24">
        <v>0</v>
      </c>
      <c r="D26" s="25">
        <f t="shared" si="6"/>
        <v>0</v>
      </c>
      <c r="E26" s="49">
        <f t="shared" si="7"/>
        <v>0</v>
      </c>
      <c r="F26" s="49"/>
      <c r="G26" s="10">
        <v>1.2999999999999999E-2</v>
      </c>
      <c r="I26" s="26">
        <f t="shared" si="5"/>
        <v>0</v>
      </c>
      <c r="J26" s="14">
        <f t="shared" si="8"/>
        <v>0</v>
      </c>
      <c r="K26" s="46"/>
      <c r="L26" s="14">
        <f t="shared" si="9"/>
        <v>0</v>
      </c>
      <c r="M26" s="46"/>
      <c r="N26" s="39"/>
    </row>
    <row r="27" spans="1:14" x14ac:dyDescent="0.15">
      <c r="A27" s="23">
        <v>0</v>
      </c>
      <c r="B27" s="23">
        <v>0</v>
      </c>
      <c r="C27" s="24">
        <v>0</v>
      </c>
      <c r="D27" s="25">
        <f t="shared" si="6"/>
        <v>0</v>
      </c>
      <c r="E27" s="49">
        <f t="shared" si="7"/>
        <v>0</v>
      </c>
      <c r="F27" s="49"/>
      <c r="G27" s="10">
        <v>1.2999999999999999E-2</v>
      </c>
      <c r="I27" s="26">
        <f t="shared" si="5"/>
        <v>0</v>
      </c>
      <c r="J27" s="14">
        <f t="shared" si="8"/>
        <v>0</v>
      </c>
      <c r="K27" s="46"/>
      <c r="L27" s="14">
        <f t="shared" si="9"/>
        <v>0</v>
      </c>
      <c r="M27" s="46"/>
      <c r="N27" s="39"/>
    </row>
    <row r="28" spans="1:14" x14ac:dyDescent="0.15">
      <c r="A28" s="23">
        <v>0</v>
      </c>
      <c r="B28" s="23">
        <v>0</v>
      </c>
      <c r="C28" s="24">
        <v>0</v>
      </c>
      <c r="D28" s="25">
        <f t="shared" si="6"/>
        <v>0</v>
      </c>
      <c r="E28" s="49">
        <f t="shared" si="7"/>
        <v>0</v>
      </c>
      <c r="F28" s="49"/>
      <c r="G28" s="10">
        <v>1.2999999999999999E-2</v>
      </c>
      <c r="I28" s="26">
        <f t="shared" si="5"/>
        <v>0</v>
      </c>
      <c r="J28" s="14">
        <f t="shared" si="8"/>
        <v>0</v>
      </c>
      <c r="K28" s="46"/>
      <c r="L28" s="14">
        <f t="shared" si="9"/>
        <v>0</v>
      </c>
      <c r="M28" s="46"/>
      <c r="N28" s="39"/>
    </row>
    <row r="29" spans="1:14" x14ac:dyDescent="0.15">
      <c r="A29" s="23">
        <v>0</v>
      </c>
      <c r="B29" s="23">
        <v>0</v>
      </c>
      <c r="C29" s="24">
        <v>0</v>
      </c>
      <c r="D29" s="25">
        <f t="shared" si="6"/>
        <v>0</v>
      </c>
      <c r="E29" s="49">
        <f t="shared" si="7"/>
        <v>0</v>
      </c>
      <c r="F29" s="49"/>
      <c r="G29" s="10">
        <v>1.2999999999999999E-2</v>
      </c>
      <c r="I29" s="26">
        <f t="shared" si="5"/>
        <v>0</v>
      </c>
      <c r="J29" s="14">
        <f t="shared" si="8"/>
        <v>0</v>
      </c>
      <c r="K29" s="46"/>
      <c r="L29" s="14">
        <f t="shared" si="9"/>
        <v>0</v>
      </c>
      <c r="M29" s="46"/>
      <c r="N29" s="39"/>
    </row>
    <row r="30" spans="1:14" x14ac:dyDescent="0.15">
      <c r="A30" s="23">
        <v>0</v>
      </c>
      <c r="B30" s="23">
        <v>0</v>
      </c>
      <c r="C30" s="24">
        <v>0</v>
      </c>
      <c r="D30" s="25">
        <f t="shared" si="6"/>
        <v>0</v>
      </c>
      <c r="E30" s="49">
        <f t="shared" si="7"/>
        <v>0</v>
      </c>
      <c r="F30" s="49"/>
      <c r="G30" s="10">
        <v>1.2999999999999999E-2</v>
      </c>
      <c r="I30" s="26">
        <f t="shared" si="5"/>
        <v>0</v>
      </c>
      <c r="J30" s="14">
        <f t="shared" si="8"/>
        <v>0</v>
      </c>
      <c r="K30" s="46"/>
      <c r="L30" s="14">
        <f t="shared" si="9"/>
        <v>0</v>
      </c>
      <c r="M30" s="46"/>
      <c r="N30" s="39"/>
    </row>
    <row r="31" spans="1:14" x14ac:dyDescent="0.15">
      <c r="A31" s="23">
        <v>0</v>
      </c>
      <c r="B31" s="23">
        <v>0</v>
      </c>
      <c r="C31" s="24">
        <v>0</v>
      </c>
      <c r="D31" s="25">
        <f t="shared" si="6"/>
        <v>0</v>
      </c>
      <c r="E31" s="49">
        <f t="shared" si="7"/>
        <v>0</v>
      </c>
      <c r="F31" s="49"/>
      <c r="G31" s="10">
        <v>1.2999999999999999E-2</v>
      </c>
      <c r="I31" s="26">
        <f t="shared" si="5"/>
        <v>0</v>
      </c>
      <c r="J31" s="14">
        <f t="shared" si="8"/>
        <v>0</v>
      </c>
      <c r="K31" s="46"/>
      <c r="L31" s="14">
        <f t="shared" si="9"/>
        <v>0</v>
      </c>
      <c r="M31" s="46"/>
      <c r="N31" s="39"/>
    </row>
    <row r="32" spans="1:14" x14ac:dyDescent="0.15">
      <c r="A32" s="23">
        <v>0</v>
      </c>
      <c r="B32" s="23">
        <v>0</v>
      </c>
      <c r="C32" s="24">
        <v>0</v>
      </c>
      <c r="D32" s="25">
        <f t="shared" si="6"/>
        <v>0</v>
      </c>
      <c r="E32" s="49">
        <f t="shared" si="7"/>
        <v>0</v>
      </c>
      <c r="F32" s="49"/>
      <c r="G32" s="10">
        <v>1.2999999999999999E-2</v>
      </c>
      <c r="I32" s="26">
        <f t="shared" si="5"/>
        <v>0</v>
      </c>
      <c r="J32" s="14">
        <f t="shared" si="8"/>
        <v>0</v>
      </c>
      <c r="K32" s="47"/>
      <c r="L32" s="14">
        <f t="shared" si="9"/>
        <v>0</v>
      </c>
      <c r="M32" s="47"/>
      <c r="N32" s="39"/>
    </row>
    <row r="33" spans="1:14" x14ac:dyDescent="0.15">
      <c r="A33" s="28"/>
      <c r="B33" s="28"/>
      <c r="C33" s="29"/>
      <c r="D33" s="30"/>
      <c r="E33" s="30"/>
      <c r="F33" s="30"/>
      <c r="G33" s="31"/>
      <c r="I33" s="32"/>
      <c r="J33" s="33"/>
      <c r="K33" s="33"/>
      <c r="L33" s="33"/>
      <c r="M33" s="33"/>
      <c r="N33" s="34"/>
    </row>
    <row r="35" spans="1:14" x14ac:dyDescent="0.15">
      <c r="A35" s="11" t="s">
        <v>28</v>
      </c>
      <c r="B35" s="5" t="s">
        <v>6</v>
      </c>
      <c r="C35" s="11"/>
      <c r="D35" s="12" t="s">
        <v>22</v>
      </c>
      <c r="E35" s="52" t="str">
        <f>$N$5</f>
        <v>psi</v>
      </c>
      <c r="F35" s="52"/>
      <c r="G35" s="4"/>
      <c r="I35" s="18" t="s">
        <v>28</v>
      </c>
      <c r="J35" s="13" t="str">
        <f>B35</f>
        <v>CH3</v>
      </c>
      <c r="K35" s="6"/>
      <c r="L35" s="12"/>
      <c r="M35" s="5"/>
      <c r="N35" s="13"/>
    </row>
    <row r="36" spans="1:14" ht="15" customHeight="1" x14ac:dyDescent="0.15">
      <c r="A36" s="54" t="s">
        <v>30</v>
      </c>
      <c r="B36" s="54" t="s">
        <v>30</v>
      </c>
      <c r="C36" s="56"/>
      <c r="D36" s="57" t="s">
        <v>33</v>
      </c>
      <c r="E36" s="59" t="s">
        <v>34</v>
      </c>
      <c r="F36" s="60"/>
      <c r="G36" s="50" t="s">
        <v>3</v>
      </c>
      <c r="I36" s="36" t="s">
        <v>30</v>
      </c>
      <c r="J36" s="43" t="s">
        <v>44</v>
      </c>
      <c r="K36" s="42" t="s">
        <v>23</v>
      </c>
      <c r="L36" s="41" t="s">
        <v>45</v>
      </c>
      <c r="M36" s="39" t="s">
        <v>23</v>
      </c>
      <c r="N36" s="40" t="s">
        <v>43</v>
      </c>
    </row>
    <row r="37" spans="1:14" x14ac:dyDescent="0.15">
      <c r="A37" s="55"/>
      <c r="B37" s="8" t="s">
        <v>31</v>
      </c>
      <c r="C37" s="9" t="s">
        <v>32</v>
      </c>
      <c r="D37" s="58"/>
      <c r="E37" s="61"/>
      <c r="F37" s="62"/>
      <c r="G37" s="51"/>
      <c r="I37" s="35" t="str">
        <f>"（"&amp;$N$5&amp;"）"</f>
        <v>（psi）</v>
      </c>
      <c r="J37" s="44"/>
      <c r="K37" s="42"/>
      <c r="L37" s="41"/>
      <c r="M37" s="39"/>
      <c r="N37" s="39"/>
    </row>
    <row r="38" spans="1:14" x14ac:dyDescent="0.15">
      <c r="A38" s="23">
        <v>0</v>
      </c>
      <c r="B38" s="23">
        <v>0</v>
      </c>
      <c r="C38" s="24">
        <v>0</v>
      </c>
      <c r="D38" s="25">
        <f>IF(ABS(B38-A38)&gt;ABS(C38-A38),B38-A38,C38-A38)</f>
        <v>0</v>
      </c>
      <c r="E38" s="49">
        <f>ABS(B38-C38)</f>
        <v>0</v>
      </c>
      <c r="F38" s="49"/>
      <c r="G38" s="10">
        <v>1.2999999999999999E-2</v>
      </c>
      <c r="I38" s="26">
        <f t="shared" ref="I38:I46" si="10">A38</f>
        <v>0</v>
      </c>
      <c r="J38" s="14">
        <f>ABS(D38)/($N$6-$L$6)</f>
        <v>0</v>
      </c>
      <c r="K38" s="45">
        <f>MAX(J38:J46)</f>
        <v>0</v>
      </c>
      <c r="L38" s="14">
        <f>ABS(E38)/($N$6-$L$6)</f>
        <v>0</v>
      </c>
      <c r="M38" s="45">
        <f>MAX(L38:L46)</f>
        <v>0</v>
      </c>
      <c r="N38" s="39"/>
    </row>
    <row r="39" spans="1:14" x14ac:dyDescent="0.15">
      <c r="A39" s="23">
        <v>0</v>
      </c>
      <c r="B39" s="23">
        <v>0</v>
      </c>
      <c r="C39" s="24">
        <v>0</v>
      </c>
      <c r="D39" s="25">
        <f t="shared" ref="D39:D46" si="11">IF(ABS(B39-A39)&gt;ABS(C39-A39),B39-A39,C39-A39)</f>
        <v>0</v>
      </c>
      <c r="E39" s="49">
        <f t="shared" ref="E39:E46" si="12">ABS(B39-C39)</f>
        <v>0</v>
      </c>
      <c r="F39" s="49"/>
      <c r="G39" s="10">
        <v>1.2999999999999999E-2</v>
      </c>
      <c r="I39" s="26">
        <f t="shared" si="10"/>
        <v>0</v>
      </c>
      <c r="J39" s="14">
        <f t="shared" ref="J39:J46" si="13">ABS(D39)/($N$6-$L$6)</f>
        <v>0</v>
      </c>
      <c r="K39" s="46"/>
      <c r="L39" s="14">
        <f t="shared" ref="L39:L46" si="14">ABS(E39)/($N$6-$L$6)</f>
        <v>0</v>
      </c>
      <c r="M39" s="46"/>
      <c r="N39" s="39"/>
    </row>
    <row r="40" spans="1:14" x14ac:dyDescent="0.15">
      <c r="A40" s="23">
        <v>0</v>
      </c>
      <c r="B40" s="23">
        <v>0</v>
      </c>
      <c r="C40" s="24">
        <v>0</v>
      </c>
      <c r="D40" s="25">
        <f t="shared" si="11"/>
        <v>0</v>
      </c>
      <c r="E40" s="49">
        <f t="shared" si="12"/>
        <v>0</v>
      </c>
      <c r="F40" s="49"/>
      <c r="G40" s="10">
        <v>1.2999999999999999E-2</v>
      </c>
      <c r="I40" s="26">
        <f t="shared" si="10"/>
        <v>0</v>
      </c>
      <c r="J40" s="14">
        <f t="shared" si="13"/>
        <v>0</v>
      </c>
      <c r="K40" s="46"/>
      <c r="L40" s="14">
        <f t="shared" si="14"/>
        <v>0</v>
      </c>
      <c r="M40" s="46"/>
      <c r="N40" s="39"/>
    </row>
    <row r="41" spans="1:14" x14ac:dyDescent="0.15">
      <c r="A41" s="23">
        <v>0</v>
      </c>
      <c r="B41" s="23">
        <v>0</v>
      </c>
      <c r="C41" s="24">
        <v>0</v>
      </c>
      <c r="D41" s="25">
        <f t="shared" si="11"/>
        <v>0</v>
      </c>
      <c r="E41" s="49">
        <f t="shared" si="12"/>
        <v>0</v>
      </c>
      <c r="F41" s="49"/>
      <c r="G41" s="10">
        <v>1.2999999999999999E-2</v>
      </c>
      <c r="I41" s="26">
        <f t="shared" si="10"/>
        <v>0</v>
      </c>
      <c r="J41" s="14">
        <f t="shared" si="13"/>
        <v>0</v>
      </c>
      <c r="K41" s="46"/>
      <c r="L41" s="14">
        <f t="shared" si="14"/>
        <v>0</v>
      </c>
      <c r="M41" s="46"/>
      <c r="N41" s="39"/>
    </row>
    <row r="42" spans="1:14" x14ac:dyDescent="0.15">
      <c r="A42" s="23">
        <v>0</v>
      </c>
      <c r="B42" s="23">
        <v>0</v>
      </c>
      <c r="C42" s="24">
        <v>0</v>
      </c>
      <c r="D42" s="25">
        <f t="shared" si="11"/>
        <v>0</v>
      </c>
      <c r="E42" s="49">
        <f t="shared" si="12"/>
        <v>0</v>
      </c>
      <c r="F42" s="49"/>
      <c r="G42" s="10">
        <v>1.2999999999999999E-2</v>
      </c>
      <c r="I42" s="26">
        <f t="shared" si="10"/>
        <v>0</v>
      </c>
      <c r="J42" s="14">
        <f t="shared" si="13"/>
        <v>0</v>
      </c>
      <c r="K42" s="46"/>
      <c r="L42" s="14">
        <f t="shared" si="14"/>
        <v>0</v>
      </c>
      <c r="M42" s="46"/>
      <c r="N42" s="39"/>
    </row>
    <row r="43" spans="1:14" x14ac:dyDescent="0.15">
      <c r="A43" s="23">
        <v>0</v>
      </c>
      <c r="B43" s="23">
        <v>0</v>
      </c>
      <c r="C43" s="24">
        <v>0</v>
      </c>
      <c r="D43" s="25">
        <f t="shared" si="11"/>
        <v>0</v>
      </c>
      <c r="E43" s="49">
        <f t="shared" si="12"/>
        <v>0</v>
      </c>
      <c r="F43" s="49"/>
      <c r="G43" s="10">
        <v>1.2999999999999999E-2</v>
      </c>
      <c r="I43" s="26">
        <f t="shared" si="10"/>
        <v>0</v>
      </c>
      <c r="J43" s="14">
        <f t="shared" si="13"/>
        <v>0</v>
      </c>
      <c r="K43" s="46"/>
      <c r="L43" s="14">
        <f t="shared" si="14"/>
        <v>0</v>
      </c>
      <c r="M43" s="46"/>
      <c r="N43" s="39"/>
    </row>
    <row r="44" spans="1:14" x14ac:dyDescent="0.15">
      <c r="A44" s="23">
        <v>0</v>
      </c>
      <c r="B44" s="23">
        <v>0</v>
      </c>
      <c r="C44" s="24">
        <v>0</v>
      </c>
      <c r="D44" s="25">
        <f t="shared" si="11"/>
        <v>0</v>
      </c>
      <c r="E44" s="49">
        <f t="shared" si="12"/>
        <v>0</v>
      </c>
      <c r="F44" s="49"/>
      <c r="G44" s="10">
        <v>1.2999999999999999E-2</v>
      </c>
      <c r="I44" s="26">
        <f t="shared" si="10"/>
        <v>0</v>
      </c>
      <c r="J44" s="14">
        <f t="shared" si="13"/>
        <v>0</v>
      </c>
      <c r="K44" s="46"/>
      <c r="L44" s="14">
        <f t="shared" si="14"/>
        <v>0</v>
      </c>
      <c r="M44" s="46"/>
      <c r="N44" s="39"/>
    </row>
    <row r="45" spans="1:14" x14ac:dyDescent="0.15">
      <c r="A45" s="23">
        <v>0</v>
      </c>
      <c r="B45" s="23">
        <v>0</v>
      </c>
      <c r="C45" s="24">
        <v>0</v>
      </c>
      <c r="D45" s="25">
        <f t="shared" si="11"/>
        <v>0</v>
      </c>
      <c r="E45" s="49">
        <f t="shared" si="12"/>
        <v>0</v>
      </c>
      <c r="F45" s="49"/>
      <c r="G45" s="10">
        <v>1.2999999999999999E-2</v>
      </c>
      <c r="I45" s="26">
        <f t="shared" si="10"/>
        <v>0</v>
      </c>
      <c r="J45" s="14">
        <f t="shared" si="13"/>
        <v>0</v>
      </c>
      <c r="K45" s="46"/>
      <c r="L45" s="14">
        <f t="shared" si="14"/>
        <v>0</v>
      </c>
      <c r="M45" s="46"/>
      <c r="N45" s="39"/>
    </row>
    <row r="46" spans="1:14" x14ac:dyDescent="0.15">
      <c r="A46" s="23">
        <v>0</v>
      </c>
      <c r="B46" s="23">
        <v>0</v>
      </c>
      <c r="C46" s="24">
        <v>0</v>
      </c>
      <c r="D46" s="25">
        <f t="shared" si="11"/>
        <v>0</v>
      </c>
      <c r="E46" s="49">
        <f t="shared" si="12"/>
        <v>0</v>
      </c>
      <c r="F46" s="49"/>
      <c r="G46" s="10">
        <v>1.2999999999999999E-2</v>
      </c>
      <c r="I46" s="26">
        <f t="shared" si="10"/>
        <v>0</v>
      </c>
      <c r="J46" s="14">
        <f t="shared" si="13"/>
        <v>0</v>
      </c>
      <c r="K46" s="47"/>
      <c r="L46" s="14">
        <f t="shared" si="14"/>
        <v>0</v>
      </c>
      <c r="M46" s="47"/>
      <c r="N46" s="39"/>
    </row>
    <row r="47" spans="1:14" x14ac:dyDescent="0.15">
      <c r="I47" s="32"/>
      <c r="J47" s="33"/>
      <c r="K47" s="33"/>
      <c r="L47" s="33"/>
      <c r="M47" s="33"/>
      <c r="N47" s="34"/>
    </row>
    <row r="50" spans="1:14" x14ac:dyDescent="0.15">
      <c r="A50" s="11" t="s">
        <v>28</v>
      </c>
      <c r="B50" s="5" t="s">
        <v>7</v>
      </c>
      <c r="C50" s="11"/>
      <c r="D50" s="12" t="s">
        <v>22</v>
      </c>
      <c r="E50" s="52" t="str">
        <f>$N$5</f>
        <v>psi</v>
      </c>
      <c r="F50" s="52"/>
      <c r="G50" s="4"/>
      <c r="I50" s="18" t="s">
        <v>28</v>
      </c>
      <c r="J50" s="13" t="str">
        <f>B50</f>
        <v>CH4</v>
      </c>
      <c r="K50" s="6"/>
      <c r="L50" s="12"/>
      <c r="M50" s="5"/>
      <c r="N50" s="13"/>
    </row>
    <row r="51" spans="1:14" ht="15" customHeight="1" x14ac:dyDescent="0.15">
      <c r="A51" s="54" t="s">
        <v>30</v>
      </c>
      <c r="B51" s="54" t="s">
        <v>30</v>
      </c>
      <c r="C51" s="56"/>
      <c r="D51" s="57" t="s">
        <v>33</v>
      </c>
      <c r="E51" s="59" t="s">
        <v>34</v>
      </c>
      <c r="F51" s="60"/>
      <c r="G51" s="50" t="s">
        <v>3</v>
      </c>
      <c r="I51" s="36" t="s">
        <v>30</v>
      </c>
      <c r="J51" s="43" t="s">
        <v>44</v>
      </c>
      <c r="K51" s="42" t="s">
        <v>23</v>
      </c>
      <c r="L51" s="41" t="s">
        <v>45</v>
      </c>
      <c r="M51" s="39" t="s">
        <v>23</v>
      </c>
      <c r="N51" s="40" t="s">
        <v>43</v>
      </c>
    </row>
    <row r="52" spans="1:14" x14ac:dyDescent="0.15">
      <c r="A52" s="55"/>
      <c r="B52" s="8" t="s">
        <v>31</v>
      </c>
      <c r="C52" s="9" t="s">
        <v>32</v>
      </c>
      <c r="D52" s="58"/>
      <c r="E52" s="61"/>
      <c r="F52" s="62"/>
      <c r="G52" s="51"/>
      <c r="I52" s="35" t="str">
        <f>"（"&amp;$N$5&amp;"）"</f>
        <v>（psi）</v>
      </c>
      <c r="J52" s="44"/>
      <c r="K52" s="42"/>
      <c r="L52" s="41"/>
      <c r="M52" s="39"/>
      <c r="N52" s="39"/>
    </row>
    <row r="53" spans="1:14" x14ac:dyDescent="0.15">
      <c r="A53" s="23">
        <v>0</v>
      </c>
      <c r="B53" s="23">
        <v>0</v>
      </c>
      <c r="C53" s="24">
        <v>0</v>
      </c>
      <c r="D53" s="25">
        <f>IF(ABS(B53-A53)&gt;ABS(C53-A53),B53-A53,C53-A53)</f>
        <v>0</v>
      </c>
      <c r="E53" s="49">
        <f>ABS(B53-C53)</f>
        <v>0</v>
      </c>
      <c r="F53" s="49"/>
      <c r="G53" s="10">
        <v>1.2999999999999999E-2</v>
      </c>
      <c r="I53" s="26">
        <f t="shared" ref="I53:I61" si="15">A53</f>
        <v>0</v>
      </c>
      <c r="J53" s="14">
        <f>ABS(D53)/($N$6-$L$6)</f>
        <v>0</v>
      </c>
      <c r="K53" s="45">
        <f>MAX(J53:J61)</f>
        <v>0</v>
      </c>
      <c r="L53" s="14">
        <f>ABS(E53)/($N$6-$L$6)</f>
        <v>0</v>
      </c>
      <c r="M53" s="45">
        <f>MAX(L53:L61)</f>
        <v>0</v>
      </c>
      <c r="N53" s="39"/>
    </row>
    <row r="54" spans="1:14" x14ac:dyDescent="0.15">
      <c r="A54" s="23">
        <v>0</v>
      </c>
      <c r="B54" s="23">
        <v>0</v>
      </c>
      <c r="C54" s="24">
        <v>0</v>
      </c>
      <c r="D54" s="25">
        <f t="shared" ref="D54:D61" si="16">IF(ABS(B54-A54)&gt;ABS(C54-A54),B54-A54,C54-A54)</f>
        <v>0</v>
      </c>
      <c r="E54" s="49">
        <f t="shared" ref="E54:E61" si="17">ABS(B54-C54)</f>
        <v>0</v>
      </c>
      <c r="F54" s="49"/>
      <c r="G54" s="10">
        <v>1.2999999999999999E-2</v>
      </c>
      <c r="I54" s="26">
        <f t="shared" si="15"/>
        <v>0</v>
      </c>
      <c r="J54" s="14">
        <f t="shared" ref="J54:J61" si="18">ABS(D54)/($N$6-$L$6)</f>
        <v>0</v>
      </c>
      <c r="K54" s="46"/>
      <c r="L54" s="14">
        <f t="shared" ref="L54:L61" si="19">ABS(E54)/($N$6-$L$6)</f>
        <v>0</v>
      </c>
      <c r="M54" s="46"/>
      <c r="N54" s="39"/>
    </row>
    <row r="55" spans="1:14" x14ac:dyDescent="0.15">
      <c r="A55" s="23">
        <v>0</v>
      </c>
      <c r="B55" s="23">
        <v>0</v>
      </c>
      <c r="C55" s="24">
        <v>0</v>
      </c>
      <c r="D55" s="25">
        <f t="shared" si="16"/>
        <v>0</v>
      </c>
      <c r="E55" s="49">
        <f t="shared" si="17"/>
        <v>0</v>
      </c>
      <c r="F55" s="49"/>
      <c r="G55" s="10">
        <v>1.2999999999999999E-2</v>
      </c>
      <c r="I55" s="26">
        <f t="shared" si="15"/>
        <v>0</v>
      </c>
      <c r="J55" s="14">
        <f t="shared" si="18"/>
        <v>0</v>
      </c>
      <c r="K55" s="46"/>
      <c r="L55" s="14">
        <f t="shared" si="19"/>
        <v>0</v>
      </c>
      <c r="M55" s="46"/>
      <c r="N55" s="39"/>
    </row>
    <row r="56" spans="1:14" x14ac:dyDescent="0.15">
      <c r="A56" s="23">
        <v>0</v>
      </c>
      <c r="B56" s="23">
        <v>0</v>
      </c>
      <c r="C56" s="24">
        <v>0</v>
      </c>
      <c r="D56" s="25">
        <f t="shared" si="16"/>
        <v>0</v>
      </c>
      <c r="E56" s="49">
        <f t="shared" si="17"/>
        <v>0</v>
      </c>
      <c r="F56" s="49"/>
      <c r="G56" s="10">
        <v>1.2999999999999999E-2</v>
      </c>
      <c r="I56" s="26">
        <f t="shared" si="15"/>
        <v>0</v>
      </c>
      <c r="J56" s="14">
        <f t="shared" si="18"/>
        <v>0</v>
      </c>
      <c r="K56" s="46"/>
      <c r="L56" s="14">
        <f t="shared" si="19"/>
        <v>0</v>
      </c>
      <c r="M56" s="46"/>
      <c r="N56" s="39"/>
    </row>
    <row r="57" spans="1:14" x14ac:dyDescent="0.15">
      <c r="A57" s="23">
        <v>0</v>
      </c>
      <c r="B57" s="23">
        <v>0</v>
      </c>
      <c r="C57" s="24">
        <v>0</v>
      </c>
      <c r="D57" s="25">
        <f t="shared" si="16"/>
        <v>0</v>
      </c>
      <c r="E57" s="49">
        <f t="shared" si="17"/>
        <v>0</v>
      </c>
      <c r="F57" s="49"/>
      <c r="G57" s="10">
        <v>1.2999999999999999E-2</v>
      </c>
      <c r="I57" s="26">
        <f t="shared" si="15"/>
        <v>0</v>
      </c>
      <c r="J57" s="14">
        <f t="shared" si="18"/>
        <v>0</v>
      </c>
      <c r="K57" s="46"/>
      <c r="L57" s="14">
        <f t="shared" si="19"/>
        <v>0</v>
      </c>
      <c r="M57" s="46"/>
      <c r="N57" s="39"/>
    </row>
    <row r="58" spans="1:14" x14ac:dyDescent="0.15">
      <c r="A58" s="23">
        <v>0</v>
      </c>
      <c r="B58" s="23">
        <v>0</v>
      </c>
      <c r="C58" s="24">
        <v>0</v>
      </c>
      <c r="D58" s="25">
        <f t="shared" si="16"/>
        <v>0</v>
      </c>
      <c r="E58" s="49">
        <f t="shared" si="17"/>
        <v>0</v>
      </c>
      <c r="F58" s="49"/>
      <c r="G58" s="10">
        <v>1.2999999999999999E-2</v>
      </c>
      <c r="I58" s="26">
        <f t="shared" si="15"/>
        <v>0</v>
      </c>
      <c r="J58" s="14">
        <f t="shared" si="18"/>
        <v>0</v>
      </c>
      <c r="K58" s="46"/>
      <c r="L58" s="14">
        <f t="shared" si="19"/>
        <v>0</v>
      </c>
      <c r="M58" s="46"/>
      <c r="N58" s="39"/>
    </row>
    <row r="59" spans="1:14" x14ac:dyDescent="0.15">
      <c r="A59" s="23">
        <v>0</v>
      </c>
      <c r="B59" s="23">
        <v>0</v>
      </c>
      <c r="C59" s="24">
        <v>0</v>
      </c>
      <c r="D59" s="25">
        <f t="shared" si="16"/>
        <v>0</v>
      </c>
      <c r="E59" s="49">
        <f t="shared" si="17"/>
        <v>0</v>
      </c>
      <c r="F59" s="49"/>
      <c r="G59" s="10">
        <v>1.2999999999999999E-2</v>
      </c>
      <c r="I59" s="26">
        <f t="shared" si="15"/>
        <v>0</v>
      </c>
      <c r="J59" s="14">
        <f t="shared" si="18"/>
        <v>0</v>
      </c>
      <c r="K59" s="46"/>
      <c r="L59" s="14">
        <f t="shared" si="19"/>
        <v>0</v>
      </c>
      <c r="M59" s="46"/>
      <c r="N59" s="39"/>
    </row>
    <row r="60" spans="1:14" x14ac:dyDescent="0.15">
      <c r="A60" s="23">
        <v>0</v>
      </c>
      <c r="B60" s="23">
        <v>0</v>
      </c>
      <c r="C60" s="24">
        <v>0</v>
      </c>
      <c r="D60" s="25">
        <f t="shared" si="16"/>
        <v>0</v>
      </c>
      <c r="E60" s="49">
        <f t="shared" si="17"/>
        <v>0</v>
      </c>
      <c r="F60" s="49"/>
      <c r="G60" s="10">
        <v>1.2999999999999999E-2</v>
      </c>
      <c r="I60" s="26">
        <f t="shared" si="15"/>
        <v>0</v>
      </c>
      <c r="J60" s="14">
        <f t="shared" si="18"/>
        <v>0</v>
      </c>
      <c r="K60" s="46"/>
      <c r="L60" s="14">
        <f t="shared" si="19"/>
        <v>0</v>
      </c>
      <c r="M60" s="46"/>
      <c r="N60" s="39"/>
    </row>
    <row r="61" spans="1:14" x14ac:dyDescent="0.15">
      <c r="A61" s="23">
        <v>0</v>
      </c>
      <c r="B61" s="23">
        <v>0</v>
      </c>
      <c r="C61" s="24">
        <v>0</v>
      </c>
      <c r="D61" s="25">
        <f t="shared" si="16"/>
        <v>0</v>
      </c>
      <c r="E61" s="49">
        <f t="shared" si="17"/>
        <v>0</v>
      </c>
      <c r="F61" s="49"/>
      <c r="G61" s="10">
        <v>1.2999999999999999E-2</v>
      </c>
      <c r="I61" s="26">
        <f t="shared" si="15"/>
        <v>0</v>
      </c>
      <c r="J61" s="14">
        <f t="shared" si="18"/>
        <v>0</v>
      </c>
      <c r="K61" s="47"/>
      <c r="L61" s="14">
        <f t="shared" si="19"/>
        <v>0</v>
      </c>
      <c r="M61" s="47"/>
      <c r="N61" s="39"/>
    </row>
    <row r="62" spans="1:14" x14ac:dyDescent="0.15">
      <c r="A62" s="28"/>
      <c r="B62" s="28"/>
      <c r="C62" s="29"/>
      <c r="D62" s="30"/>
      <c r="E62" s="30"/>
      <c r="F62" s="30"/>
      <c r="G62" s="31"/>
      <c r="I62" s="32"/>
      <c r="J62" s="33"/>
      <c r="K62" s="33"/>
      <c r="L62" s="33"/>
      <c r="M62" s="33"/>
      <c r="N62" s="34"/>
    </row>
    <row r="64" spans="1:14" x14ac:dyDescent="0.15">
      <c r="A64" s="11" t="s">
        <v>28</v>
      </c>
      <c r="B64" s="5" t="s">
        <v>8</v>
      </c>
      <c r="C64" s="11"/>
      <c r="D64" s="12" t="s">
        <v>22</v>
      </c>
      <c r="E64" s="52" t="str">
        <f>$N$5</f>
        <v>psi</v>
      </c>
      <c r="F64" s="52"/>
      <c r="G64" s="4"/>
      <c r="I64" s="18" t="s">
        <v>28</v>
      </c>
      <c r="J64" s="13" t="str">
        <f>B64</f>
        <v>CH5</v>
      </c>
      <c r="K64" s="6"/>
      <c r="L64" s="12"/>
      <c r="M64" s="5"/>
      <c r="N64" s="13"/>
    </row>
    <row r="65" spans="1:14" ht="15" customHeight="1" x14ac:dyDescent="0.15">
      <c r="A65" s="54" t="s">
        <v>30</v>
      </c>
      <c r="B65" s="54" t="s">
        <v>30</v>
      </c>
      <c r="C65" s="56"/>
      <c r="D65" s="57" t="s">
        <v>33</v>
      </c>
      <c r="E65" s="59" t="s">
        <v>34</v>
      </c>
      <c r="F65" s="60"/>
      <c r="G65" s="50" t="s">
        <v>3</v>
      </c>
      <c r="I65" s="36" t="s">
        <v>30</v>
      </c>
      <c r="J65" s="43" t="s">
        <v>44</v>
      </c>
      <c r="K65" s="42" t="s">
        <v>23</v>
      </c>
      <c r="L65" s="41" t="s">
        <v>45</v>
      </c>
      <c r="M65" s="39" t="s">
        <v>23</v>
      </c>
      <c r="N65" s="40" t="s">
        <v>43</v>
      </c>
    </row>
    <row r="66" spans="1:14" x14ac:dyDescent="0.15">
      <c r="A66" s="55"/>
      <c r="B66" s="8" t="s">
        <v>31</v>
      </c>
      <c r="C66" s="9" t="s">
        <v>32</v>
      </c>
      <c r="D66" s="58"/>
      <c r="E66" s="61"/>
      <c r="F66" s="62"/>
      <c r="G66" s="51"/>
      <c r="I66" s="35" t="str">
        <f>"（"&amp;$N$5&amp;"）"</f>
        <v>（psi）</v>
      </c>
      <c r="J66" s="44"/>
      <c r="K66" s="42"/>
      <c r="L66" s="41"/>
      <c r="M66" s="39"/>
      <c r="N66" s="39"/>
    </row>
    <row r="67" spans="1:14" x14ac:dyDescent="0.15">
      <c r="A67" s="23">
        <v>0</v>
      </c>
      <c r="B67" s="23">
        <v>0</v>
      </c>
      <c r="C67" s="24">
        <v>0</v>
      </c>
      <c r="D67" s="25">
        <f>IF(ABS(B67-A67)&gt;ABS(C67-A67),B67-A67,C67-A67)</f>
        <v>0</v>
      </c>
      <c r="E67" s="49">
        <f>ABS(B67-C67)</f>
        <v>0</v>
      </c>
      <c r="F67" s="49"/>
      <c r="G67" s="10">
        <v>1.2999999999999999E-2</v>
      </c>
      <c r="I67" s="26">
        <f t="shared" ref="I67:I75" si="20">A67</f>
        <v>0</v>
      </c>
      <c r="J67" s="14">
        <f>ABS(D67)/($N$6-$L$6)</f>
        <v>0</v>
      </c>
      <c r="K67" s="45">
        <f>MAX(J67:J75)</f>
        <v>0</v>
      </c>
      <c r="L67" s="14">
        <f>ABS(E67)/($N$6-$L$6)</f>
        <v>0</v>
      </c>
      <c r="M67" s="45">
        <f>MAX(L67:L75)</f>
        <v>0</v>
      </c>
      <c r="N67" s="39"/>
    </row>
    <row r="68" spans="1:14" x14ac:dyDescent="0.15">
      <c r="A68" s="23">
        <v>0</v>
      </c>
      <c r="B68" s="23">
        <v>0</v>
      </c>
      <c r="C68" s="24">
        <v>0</v>
      </c>
      <c r="D68" s="25">
        <f t="shared" ref="D68:D75" si="21">IF(ABS(B68-A68)&gt;ABS(C68-A68),B68-A68,C68-A68)</f>
        <v>0</v>
      </c>
      <c r="E68" s="49">
        <f t="shared" ref="E68:E75" si="22">ABS(B68-C68)</f>
        <v>0</v>
      </c>
      <c r="F68" s="49"/>
      <c r="G68" s="10">
        <v>1.2999999999999999E-2</v>
      </c>
      <c r="I68" s="26">
        <f t="shared" si="20"/>
        <v>0</v>
      </c>
      <c r="J68" s="14">
        <f t="shared" ref="J68:J75" si="23">ABS(D68)/($N$6-$L$6)</f>
        <v>0</v>
      </c>
      <c r="K68" s="46"/>
      <c r="L68" s="14">
        <f t="shared" ref="L68:L75" si="24">ABS(E68)/($N$6-$L$6)</f>
        <v>0</v>
      </c>
      <c r="M68" s="46"/>
      <c r="N68" s="39"/>
    </row>
    <row r="69" spans="1:14" x14ac:dyDescent="0.15">
      <c r="A69" s="23">
        <v>0</v>
      </c>
      <c r="B69" s="23">
        <v>0</v>
      </c>
      <c r="C69" s="24">
        <v>0</v>
      </c>
      <c r="D69" s="25">
        <f t="shared" si="21"/>
        <v>0</v>
      </c>
      <c r="E69" s="49">
        <f t="shared" si="22"/>
        <v>0</v>
      </c>
      <c r="F69" s="49"/>
      <c r="G69" s="10">
        <v>1.2999999999999999E-2</v>
      </c>
      <c r="I69" s="26">
        <f t="shared" si="20"/>
        <v>0</v>
      </c>
      <c r="J69" s="14">
        <f t="shared" si="23"/>
        <v>0</v>
      </c>
      <c r="K69" s="46"/>
      <c r="L69" s="14">
        <f t="shared" si="24"/>
        <v>0</v>
      </c>
      <c r="M69" s="46"/>
      <c r="N69" s="39"/>
    </row>
    <row r="70" spans="1:14" x14ac:dyDescent="0.15">
      <c r="A70" s="23">
        <v>0</v>
      </c>
      <c r="B70" s="23">
        <v>0</v>
      </c>
      <c r="C70" s="24">
        <v>0</v>
      </c>
      <c r="D70" s="25">
        <f t="shared" si="21"/>
        <v>0</v>
      </c>
      <c r="E70" s="49">
        <f t="shared" si="22"/>
        <v>0</v>
      </c>
      <c r="F70" s="49"/>
      <c r="G70" s="10">
        <v>1.2999999999999999E-2</v>
      </c>
      <c r="I70" s="26">
        <f t="shared" si="20"/>
        <v>0</v>
      </c>
      <c r="J70" s="14">
        <f t="shared" si="23"/>
        <v>0</v>
      </c>
      <c r="K70" s="46"/>
      <c r="L70" s="14">
        <f t="shared" si="24"/>
        <v>0</v>
      </c>
      <c r="M70" s="46"/>
      <c r="N70" s="39"/>
    </row>
    <row r="71" spans="1:14" x14ac:dyDescent="0.15">
      <c r="A71" s="23">
        <v>0</v>
      </c>
      <c r="B71" s="23">
        <v>0</v>
      </c>
      <c r="C71" s="24">
        <v>0</v>
      </c>
      <c r="D71" s="25">
        <f t="shared" si="21"/>
        <v>0</v>
      </c>
      <c r="E71" s="49">
        <f t="shared" si="22"/>
        <v>0</v>
      </c>
      <c r="F71" s="49"/>
      <c r="G71" s="10">
        <v>1.2999999999999999E-2</v>
      </c>
      <c r="I71" s="26">
        <f t="shared" si="20"/>
        <v>0</v>
      </c>
      <c r="J71" s="14">
        <f t="shared" si="23"/>
        <v>0</v>
      </c>
      <c r="K71" s="46"/>
      <c r="L71" s="14">
        <f t="shared" si="24"/>
        <v>0</v>
      </c>
      <c r="M71" s="46"/>
      <c r="N71" s="39"/>
    </row>
    <row r="72" spans="1:14" x14ac:dyDescent="0.15">
      <c r="A72" s="23">
        <v>0</v>
      </c>
      <c r="B72" s="23">
        <v>0</v>
      </c>
      <c r="C72" s="24">
        <v>0</v>
      </c>
      <c r="D72" s="25">
        <f t="shared" si="21"/>
        <v>0</v>
      </c>
      <c r="E72" s="49">
        <f t="shared" si="22"/>
        <v>0</v>
      </c>
      <c r="F72" s="49"/>
      <c r="G72" s="10">
        <v>1.2999999999999999E-2</v>
      </c>
      <c r="I72" s="26">
        <f t="shared" si="20"/>
        <v>0</v>
      </c>
      <c r="J72" s="14">
        <f t="shared" si="23"/>
        <v>0</v>
      </c>
      <c r="K72" s="46"/>
      <c r="L72" s="14">
        <f t="shared" si="24"/>
        <v>0</v>
      </c>
      <c r="M72" s="46"/>
      <c r="N72" s="39"/>
    </row>
    <row r="73" spans="1:14" x14ac:dyDescent="0.15">
      <c r="A73" s="23">
        <v>0</v>
      </c>
      <c r="B73" s="23">
        <v>0</v>
      </c>
      <c r="C73" s="24">
        <v>0</v>
      </c>
      <c r="D73" s="25">
        <f t="shared" si="21"/>
        <v>0</v>
      </c>
      <c r="E73" s="49">
        <f t="shared" si="22"/>
        <v>0</v>
      </c>
      <c r="F73" s="49"/>
      <c r="G73" s="10">
        <v>1.2999999999999999E-2</v>
      </c>
      <c r="I73" s="26">
        <f t="shared" si="20"/>
        <v>0</v>
      </c>
      <c r="J73" s="14">
        <f t="shared" si="23"/>
        <v>0</v>
      </c>
      <c r="K73" s="46"/>
      <c r="L73" s="14">
        <f t="shared" si="24"/>
        <v>0</v>
      </c>
      <c r="M73" s="46"/>
      <c r="N73" s="39"/>
    </row>
    <row r="74" spans="1:14" x14ac:dyDescent="0.15">
      <c r="A74" s="23">
        <v>0</v>
      </c>
      <c r="B74" s="23">
        <v>0</v>
      </c>
      <c r="C74" s="24">
        <v>0</v>
      </c>
      <c r="D74" s="25">
        <f t="shared" si="21"/>
        <v>0</v>
      </c>
      <c r="E74" s="49">
        <f t="shared" si="22"/>
        <v>0</v>
      </c>
      <c r="F74" s="49"/>
      <c r="G74" s="10">
        <v>1.2999999999999999E-2</v>
      </c>
      <c r="I74" s="26">
        <f t="shared" si="20"/>
        <v>0</v>
      </c>
      <c r="J74" s="14">
        <f t="shared" si="23"/>
        <v>0</v>
      </c>
      <c r="K74" s="46"/>
      <c r="L74" s="14">
        <f t="shared" si="24"/>
        <v>0</v>
      </c>
      <c r="M74" s="46"/>
      <c r="N74" s="39"/>
    </row>
    <row r="75" spans="1:14" x14ac:dyDescent="0.15">
      <c r="A75" s="23">
        <v>0</v>
      </c>
      <c r="B75" s="23">
        <v>0</v>
      </c>
      <c r="C75" s="24">
        <v>0</v>
      </c>
      <c r="D75" s="25">
        <f t="shared" si="21"/>
        <v>0</v>
      </c>
      <c r="E75" s="49">
        <f t="shared" si="22"/>
        <v>0</v>
      </c>
      <c r="F75" s="49"/>
      <c r="G75" s="10">
        <v>1.2999999999999999E-2</v>
      </c>
      <c r="I75" s="26">
        <f t="shared" si="20"/>
        <v>0</v>
      </c>
      <c r="J75" s="14">
        <f t="shared" si="23"/>
        <v>0</v>
      </c>
      <c r="K75" s="47"/>
      <c r="L75" s="14">
        <f t="shared" si="24"/>
        <v>0</v>
      </c>
      <c r="M75" s="47"/>
      <c r="N75" s="39"/>
    </row>
    <row r="76" spans="1:14" x14ac:dyDescent="0.15">
      <c r="A76" s="28"/>
      <c r="B76" s="28"/>
      <c r="C76" s="29"/>
      <c r="D76" s="30"/>
      <c r="E76" s="30"/>
      <c r="F76" s="30"/>
      <c r="G76" s="31"/>
      <c r="I76" s="32"/>
      <c r="J76" s="33"/>
      <c r="K76" s="33"/>
      <c r="L76" s="33"/>
      <c r="M76" s="33"/>
      <c r="N76" s="34"/>
    </row>
    <row r="78" spans="1:14" x14ac:dyDescent="0.15">
      <c r="A78" s="11" t="s">
        <v>28</v>
      </c>
      <c r="B78" s="5" t="s">
        <v>9</v>
      </c>
      <c r="C78" s="11"/>
      <c r="D78" s="12" t="s">
        <v>22</v>
      </c>
      <c r="E78" s="52" t="str">
        <f>$N$5</f>
        <v>psi</v>
      </c>
      <c r="F78" s="52"/>
      <c r="G78" s="4"/>
      <c r="I78" s="18" t="s">
        <v>28</v>
      </c>
      <c r="J78" s="13" t="str">
        <f>B78</f>
        <v>CH6</v>
      </c>
      <c r="K78" s="6"/>
      <c r="L78" s="12"/>
      <c r="M78" s="5"/>
      <c r="N78" s="13"/>
    </row>
    <row r="79" spans="1:14" ht="15" customHeight="1" x14ac:dyDescent="0.15">
      <c r="A79" s="54" t="s">
        <v>30</v>
      </c>
      <c r="B79" s="54" t="s">
        <v>30</v>
      </c>
      <c r="C79" s="56"/>
      <c r="D79" s="57" t="s">
        <v>33</v>
      </c>
      <c r="E79" s="59" t="s">
        <v>34</v>
      </c>
      <c r="F79" s="60"/>
      <c r="G79" s="50" t="s">
        <v>3</v>
      </c>
      <c r="I79" s="36" t="s">
        <v>30</v>
      </c>
      <c r="J79" s="43" t="s">
        <v>44</v>
      </c>
      <c r="K79" s="42" t="s">
        <v>23</v>
      </c>
      <c r="L79" s="41" t="s">
        <v>45</v>
      </c>
      <c r="M79" s="39" t="s">
        <v>23</v>
      </c>
      <c r="N79" s="40" t="s">
        <v>43</v>
      </c>
    </row>
    <row r="80" spans="1:14" x14ac:dyDescent="0.15">
      <c r="A80" s="55"/>
      <c r="B80" s="8" t="s">
        <v>31</v>
      </c>
      <c r="C80" s="9" t="s">
        <v>32</v>
      </c>
      <c r="D80" s="58"/>
      <c r="E80" s="61"/>
      <c r="F80" s="62"/>
      <c r="G80" s="51"/>
      <c r="I80" s="35" t="str">
        <f>"（"&amp;$N$5&amp;"）"</f>
        <v>（psi）</v>
      </c>
      <c r="J80" s="44"/>
      <c r="K80" s="42"/>
      <c r="L80" s="41"/>
      <c r="M80" s="39"/>
      <c r="N80" s="39"/>
    </row>
    <row r="81" spans="1:14" x14ac:dyDescent="0.15">
      <c r="A81" s="23">
        <v>0</v>
      </c>
      <c r="B81" s="23">
        <v>0</v>
      </c>
      <c r="C81" s="24">
        <v>0</v>
      </c>
      <c r="D81" s="25">
        <f>IF(ABS(B81-A81)&gt;ABS(C81-A81),B81-A81,C81-A81)</f>
        <v>0</v>
      </c>
      <c r="E81" s="49">
        <f>ABS(B81-C81)</f>
        <v>0</v>
      </c>
      <c r="F81" s="49"/>
      <c r="G81" s="10">
        <v>1.2999999999999999E-2</v>
      </c>
      <c r="I81" s="26">
        <f t="shared" ref="I81:I89" si="25">A81</f>
        <v>0</v>
      </c>
      <c r="J81" s="14">
        <f>ABS(D81)/($N$6-$L$6)</f>
        <v>0</v>
      </c>
      <c r="K81" s="45">
        <f>MAX(J81:J89)</f>
        <v>0</v>
      </c>
      <c r="L81" s="14">
        <f>ABS(E81)/($N$6-$L$6)</f>
        <v>0</v>
      </c>
      <c r="M81" s="45">
        <f>MAX(L81:L89)</f>
        <v>0</v>
      </c>
      <c r="N81" s="39"/>
    </row>
    <row r="82" spans="1:14" x14ac:dyDescent="0.15">
      <c r="A82" s="23">
        <v>0</v>
      </c>
      <c r="B82" s="23">
        <v>0</v>
      </c>
      <c r="C82" s="24">
        <v>0</v>
      </c>
      <c r="D82" s="25">
        <f t="shared" ref="D82:D89" si="26">IF(ABS(B82-A82)&gt;ABS(C82-A82),B82-A82,C82-A82)</f>
        <v>0</v>
      </c>
      <c r="E82" s="49">
        <f t="shared" ref="E82:E89" si="27">ABS(B82-C82)</f>
        <v>0</v>
      </c>
      <c r="F82" s="49"/>
      <c r="G82" s="10">
        <v>1.2999999999999999E-2</v>
      </c>
      <c r="I82" s="26">
        <f t="shared" si="25"/>
        <v>0</v>
      </c>
      <c r="J82" s="14">
        <f t="shared" ref="J82:J89" si="28">ABS(D82)/($N$6-$L$6)</f>
        <v>0</v>
      </c>
      <c r="K82" s="46"/>
      <c r="L82" s="14">
        <f t="shared" ref="L82:L89" si="29">ABS(E82)/($N$6-$L$6)</f>
        <v>0</v>
      </c>
      <c r="M82" s="46"/>
      <c r="N82" s="39"/>
    </row>
    <row r="83" spans="1:14" x14ac:dyDescent="0.15">
      <c r="A83" s="23">
        <v>0</v>
      </c>
      <c r="B83" s="23">
        <v>0</v>
      </c>
      <c r="C83" s="24">
        <v>0</v>
      </c>
      <c r="D83" s="25">
        <f t="shared" si="26"/>
        <v>0</v>
      </c>
      <c r="E83" s="49">
        <f t="shared" si="27"/>
        <v>0</v>
      </c>
      <c r="F83" s="49"/>
      <c r="G83" s="10">
        <v>1.2999999999999999E-2</v>
      </c>
      <c r="I83" s="26">
        <f t="shared" si="25"/>
        <v>0</v>
      </c>
      <c r="J83" s="14">
        <f t="shared" si="28"/>
        <v>0</v>
      </c>
      <c r="K83" s="46"/>
      <c r="L83" s="14">
        <f t="shared" si="29"/>
        <v>0</v>
      </c>
      <c r="M83" s="46"/>
      <c r="N83" s="39"/>
    </row>
    <row r="84" spans="1:14" x14ac:dyDescent="0.15">
      <c r="A84" s="23">
        <v>0</v>
      </c>
      <c r="B84" s="23">
        <v>0</v>
      </c>
      <c r="C84" s="24">
        <v>0</v>
      </c>
      <c r="D84" s="25">
        <f t="shared" si="26"/>
        <v>0</v>
      </c>
      <c r="E84" s="49">
        <f t="shared" si="27"/>
        <v>0</v>
      </c>
      <c r="F84" s="49"/>
      <c r="G84" s="10">
        <v>1.2999999999999999E-2</v>
      </c>
      <c r="I84" s="26">
        <f t="shared" si="25"/>
        <v>0</v>
      </c>
      <c r="J84" s="14">
        <f t="shared" si="28"/>
        <v>0</v>
      </c>
      <c r="K84" s="46"/>
      <c r="L84" s="14">
        <f t="shared" si="29"/>
        <v>0</v>
      </c>
      <c r="M84" s="46"/>
      <c r="N84" s="39"/>
    </row>
    <row r="85" spans="1:14" x14ac:dyDescent="0.15">
      <c r="A85" s="23">
        <v>0</v>
      </c>
      <c r="B85" s="23">
        <v>0</v>
      </c>
      <c r="C85" s="24">
        <v>0</v>
      </c>
      <c r="D85" s="25">
        <f t="shared" si="26"/>
        <v>0</v>
      </c>
      <c r="E85" s="49">
        <f t="shared" si="27"/>
        <v>0</v>
      </c>
      <c r="F85" s="49"/>
      <c r="G85" s="10">
        <v>1.2999999999999999E-2</v>
      </c>
      <c r="I85" s="26">
        <f t="shared" si="25"/>
        <v>0</v>
      </c>
      <c r="J85" s="14">
        <f t="shared" si="28"/>
        <v>0</v>
      </c>
      <c r="K85" s="46"/>
      <c r="L85" s="14">
        <f t="shared" si="29"/>
        <v>0</v>
      </c>
      <c r="M85" s="46"/>
      <c r="N85" s="39"/>
    </row>
    <row r="86" spans="1:14" x14ac:dyDescent="0.15">
      <c r="A86" s="23">
        <v>0</v>
      </c>
      <c r="B86" s="23">
        <v>0</v>
      </c>
      <c r="C86" s="24">
        <v>0</v>
      </c>
      <c r="D86" s="25">
        <f t="shared" si="26"/>
        <v>0</v>
      </c>
      <c r="E86" s="49">
        <f t="shared" si="27"/>
        <v>0</v>
      </c>
      <c r="F86" s="49"/>
      <c r="G86" s="10">
        <v>1.2999999999999999E-2</v>
      </c>
      <c r="I86" s="26">
        <f t="shared" si="25"/>
        <v>0</v>
      </c>
      <c r="J86" s="14">
        <f t="shared" si="28"/>
        <v>0</v>
      </c>
      <c r="K86" s="46"/>
      <c r="L86" s="14">
        <f t="shared" si="29"/>
        <v>0</v>
      </c>
      <c r="M86" s="46"/>
      <c r="N86" s="39"/>
    </row>
    <row r="87" spans="1:14" x14ac:dyDescent="0.15">
      <c r="A87" s="23">
        <v>0</v>
      </c>
      <c r="B87" s="23">
        <v>0</v>
      </c>
      <c r="C87" s="24">
        <v>0</v>
      </c>
      <c r="D87" s="25">
        <f t="shared" si="26"/>
        <v>0</v>
      </c>
      <c r="E87" s="49">
        <f t="shared" si="27"/>
        <v>0</v>
      </c>
      <c r="F87" s="49"/>
      <c r="G87" s="10">
        <v>1.2999999999999999E-2</v>
      </c>
      <c r="I87" s="26">
        <f t="shared" si="25"/>
        <v>0</v>
      </c>
      <c r="J87" s="14">
        <f t="shared" si="28"/>
        <v>0</v>
      </c>
      <c r="K87" s="46"/>
      <c r="L87" s="14">
        <f t="shared" si="29"/>
        <v>0</v>
      </c>
      <c r="M87" s="46"/>
      <c r="N87" s="39"/>
    </row>
    <row r="88" spans="1:14" x14ac:dyDescent="0.15">
      <c r="A88" s="23">
        <v>0</v>
      </c>
      <c r="B88" s="23">
        <v>0</v>
      </c>
      <c r="C88" s="24">
        <v>0</v>
      </c>
      <c r="D88" s="25">
        <f t="shared" si="26"/>
        <v>0</v>
      </c>
      <c r="E88" s="49">
        <f t="shared" si="27"/>
        <v>0</v>
      </c>
      <c r="F88" s="49"/>
      <c r="G88" s="10">
        <v>1.2999999999999999E-2</v>
      </c>
      <c r="I88" s="26">
        <f t="shared" si="25"/>
        <v>0</v>
      </c>
      <c r="J88" s="14">
        <f t="shared" si="28"/>
        <v>0</v>
      </c>
      <c r="K88" s="46"/>
      <c r="L88" s="14">
        <f t="shared" si="29"/>
        <v>0</v>
      </c>
      <c r="M88" s="46"/>
      <c r="N88" s="39"/>
    </row>
    <row r="89" spans="1:14" x14ac:dyDescent="0.15">
      <c r="A89" s="23">
        <v>0</v>
      </c>
      <c r="B89" s="23">
        <v>0</v>
      </c>
      <c r="C89" s="24">
        <v>0</v>
      </c>
      <c r="D89" s="25">
        <f t="shared" si="26"/>
        <v>0</v>
      </c>
      <c r="E89" s="49">
        <f t="shared" si="27"/>
        <v>0</v>
      </c>
      <c r="F89" s="49"/>
      <c r="G89" s="10">
        <v>1.2999999999999999E-2</v>
      </c>
      <c r="I89" s="26">
        <f t="shared" si="25"/>
        <v>0</v>
      </c>
      <c r="J89" s="14">
        <f t="shared" si="28"/>
        <v>0</v>
      </c>
      <c r="K89" s="47"/>
      <c r="L89" s="14">
        <f t="shared" si="29"/>
        <v>0</v>
      </c>
      <c r="M89" s="47"/>
      <c r="N89" s="39"/>
    </row>
    <row r="90" spans="1:14" x14ac:dyDescent="0.15">
      <c r="I90" s="32"/>
      <c r="J90" s="33"/>
      <c r="K90" s="33"/>
      <c r="L90" s="33"/>
      <c r="M90" s="33"/>
      <c r="N90" s="34"/>
    </row>
    <row r="94" spans="1:14" x14ac:dyDescent="0.15">
      <c r="A94" s="11" t="s">
        <v>28</v>
      </c>
      <c r="B94" s="5" t="s">
        <v>10</v>
      </c>
      <c r="C94" s="11"/>
      <c r="D94" s="12" t="s">
        <v>22</v>
      </c>
      <c r="E94" s="52" t="str">
        <f>$N$5</f>
        <v>psi</v>
      </c>
      <c r="F94" s="52"/>
      <c r="G94" s="4"/>
      <c r="I94" s="18" t="s">
        <v>28</v>
      </c>
      <c r="J94" s="13" t="str">
        <f>B94</f>
        <v>CH7</v>
      </c>
      <c r="K94" s="6"/>
      <c r="L94" s="12"/>
      <c r="M94" s="5"/>
      <c r="N94" s="13"/>
    </row>
    <row r="95" spans="1:14" ht="15" customHeight="1" x14ac:dyDescent="0.15">
      <c r="A95" s="54" t="s">
        <v>30</v>
      </c>
      <c r="B95" s="54" t="s">
        <v>30</v>
      </c>
      <c r="C95" s="56"/>
      <c r="D95" s="57" t="s">
        <v>33</v>
      </c>
      <c r="E95" s="59" t="s">
        <v>34</v>
      </c>
      <c r="F95" s="60"/>
      <c r="G95" s="50" t="s">
        <v>3</v>
      </c>
      <c r="I95" s="36" t="s">
        <v>30</v>
      </c>
      <c r="J95" s="43" t="s">
        <v>44</v>
      </c>
      <c r="K95" s="42" t="s">
        <v>23</v>
      </c>
      <c r="L95" s="41" t="s">
        <v>45</v>
      </c>
      <c r="M95" s="39" t="s">
        <v>23</v>
      </c>
      <c r="N95" s="40" t="s">
        <v>43</v>
      </c>
    </row>
    <row r="96" spans="1:14" x14ac:dyDescent="0.15">
      <c r="A96" s="55"/>
      <c r="B96" s="8" t="s">
        <v>31</v>
      </c>
      <c r="C96" s="9" t="s">
        <v>32</v>
      </c>
      <c r="D96" s="58"/>
      <c r="E96" s="61"/>
      <c r="F96" s="62"/>
      <c r="G96" s="51"/>
      <c r="I96" s="35" t="str">
        <f>"（"&amp;$N$5&amp;"）"</f>
        <v>（psi）</v>
      </c>
      <c r="J96" s="44"/>
      <c r="K96" s="42"/>
      <c r="L96" s="41"/>
      <c r="M96" s="39"/>
      <c r="N96" s="39"/>
    </row>
    <row r="97" spans="1:14" x14ac:dyDescent="0.15">
      <c r="A97" s="23">
        <v>0</v>
      </c>
      <c r="B97" s="23">
        <v>0</v>
      </c>
      <c r="C97" s="24">
        <v>0</v>
      </c>
      <c r="D97" s="25">
        <f>IF(ABS(B97-A97)&gt;ABS(C97-A97),B97-A97,C97-A97)</f>
        <v>0</v>
      </c>
      <c r="E97" s="49">
        <f>ABS(B97-C97)</f>
        <v>0</v>
      </c>
      <c r="F97" s="49"/>
      <c r="G97" s="10">
        <v>1.2999999999999999E-2</v>
      </c>
      <c r="I97" s="26">
        <f t="shared" ref="I97:I105" si="30">A97</f>
        <v>0</v>
      </c>
      <c r="J97" s="14">
        <f>ABS(D97)/($N$6-$L$6)</f>
        <v>0</v>
      </c>
      <c r="K97" s="45">
        <f>MAX(J97:J105)</f>
        <v>0</v>
      </c>
      <c r="L97" s="14">
        <f>ABS(E97)/($N$6-$L$6)</f>
        <v>0</v>
      </c>
      <c r="M97" s="45">
        <f>MAX(L97:L105)</f>
        <v>0</v>
      </c>
      <c r="N97" s="39"/>
    </row>
    <row r="98" spans="1:14" x14ac:dyDescent="0.15">
      <c r="A98" s="23">
        <v>0</v>
      </c>
      <c r="B98" s="23">
        <v>0</v>
      </c>
      <c r="C98" s="24">
        <v>0</v>
      </c>
      <c r="D98" s="25">
        <f t="shared" ref="D98:D105" si="31">IF(ABS(B98-A98)&gt;ABS(C98-A98),B98-A98,C98-A98)</f>
        <v>0</v>
      </c>
      <c r="E98" s="49">
        <f t="shared" ref="E98:E105" si="32">ABS(B98-C98)</f>
        <v>0</v>
      </c>
      <c r="F98" s="49"/>
      <c r="G98" s="10">
        <v>1.2999999999999999E-2</v>
      </c>
      <c r="I98" s="26">
        <f t="shared" si="30"/>
        <v>0</v>
      </c>
      <c r="J98" s="14">
        <f t="shared" ref="J98:J105" si="33">ABS(D98)/($N$6-$L$6)</f>
        <v>0</v>
      </c>
      <c r="K98" s="46"/>
      <c r="L98" s="14">
        <f t="shared" ref="L98:L105" si="34">ABS(E98)/($N$6-$L$6)</f>
        <v>0</v>
      </c>
      <c r="M98" s="46"/>
      <c r="N98" s="39"/>
    </row>
    <row r="99" spans="1:14" x14ac:dyDescent="0.15">
      <c r="A99" s="23">
        <v>0</v>
      </c>
      <c r="B99" s="23">
        <v>0</v>
      </c>
      <c r="C99" s="24">
        <v>0</v>
      </c>
      <c r="D99" s="25">
        <f t="shared" si="31"/>
        <v>0</v>
      </c>
      <c r="E99" s="49">
        <f t="shared" si="32"/>
        <v>0</v>
      </c>
      <c r="F99" s="49"/>
      <c r="G99" s="10">
        <v>1.2999999999999999E-2</v>
      </c>
      <c r="I99" s="26">
        <f t="shared" si="30"/>
        <v>0</v>
      </c>
      <c r="J99" s="14">
        <f t="shared" si="33"/>
        <v>0</v>
      </c>
      <c r="K99" s="46"/>
      <c r="L99" s="14">
        <f t="shared" si="34"/>
        <v>0</v>
      </c>
      <c r="M99" s="46"/>
      <c r="N99" s="39"/>
    </row>
    <row r="100" spans="1:14" x14ac:dyDescent="0.15">
      <c r="A100" s="23">
        <v>0</v>
      </c>
      <c r="B100" s="23">
        <v>0</v>
      </c>
      <c r="C100" s="24">
        <v>0</v>
      </c>
      <c r="D100" s="25">
        <f t="shared" si="31"/>
        <v>0</v>
      </c>
      <c r="E100" s="49">
        <f t="shared" si="32"/>
        <v>0</v>
      </c>
      <c r="F100" s="49"/>
      <c r="G100" s="10">
        <v>1.2999999999999999E-2</v>
      </c>
      <c r="I100" s="26">
        <f t="shared" si="30"/>
        <v>0</v>
      </c>
      <c r="J100" s="14">
        <f t="shared" si="33"/>
        <v>0</v>
      </c>
      <c r="K100" s="46"/>
      <c r="L100" s="14">
        <f t="shared" si="34"/>
        <v>0</v>
      </c>
      <c r="M100" s="46"/>
      <c r="N100" s="39"/>
    </row>
    <row r="101" spans="1:14" x14ac:dyDescent="0.15">
      <c r="A101" s="23">
        <v>0</v>
      </c>
      <c r="B101" s="23">
        <v>0</v>
      </c>
      <c r="C101" s="24">
        <v>0</v>
      </c>
      <c r="D101" s="25">
        <f t="shared" si="31"/>
        <v>0</v>
      </c>
      <c r="E101" s="49">
        <f t="shared" si="32"/>
        <v>0</v>
      </c>
      <c r="F101" s="49"/>
      <c r="G101" s="10">
        <v>1.2999999999999999E-2</v>
      </c>
      <c r="I101" s="26">
        <f t="shared" si="30"/>
        <v>0</v>
      </c>
      <c r="J101" s="14">
        <f t="shared" si="33"/>
        <v>0</v>
      </c>
      <c r="K101" s="46"/>
      <c r="L101" s="14">
        <f t="shared" si="34"/>
        <v>0</v>
      </c>
      <c r="M101" s="46"/>
      <c r="N101" s="39"/>
    </row>
    <row r="102" spans="1:14" x14ac:dyDescent="0.15">
      <c r="A102" s="23">
        <v>0</v>
      </c>
      <c r="B102" s="23">
        <v>0</v>
      </c>
      <c r="C102" s="24">
        <v>0</v>
      </c>
      <c r="D102" s="25">
        <f t="shared" si="31"/>
        <v>0</v>
      </c>
      <c r="E102" s="49">
        <f t="shared" si="32"/>
        <v>0</v>
      </c>
      <c r="F102" s="49"/>
      <c r="G102" s="10">
        <v>1.2999999999999999E-2</v>
      </c>
      <c r="I102" s="26">
        <f t="shared" si="30"/>
        <v>0</v>
      </c>
      <c r="J102" s="14">
        <f t="shared" si="33"/>
        <v>0</v>
      </c>
      <c r="K102" s="46"/>
      <c r="L102" s="14">
        <f t="shared" si="34"/>
        <v>0</v>
      </c>
      <c r="M102" s="46"/>
      <c r="N102" s="39"/>
    </row>
    <row r="103" spans="1:14" x14ac:dyDescent="0.15">
      <c r="A103" s="23">
        <v>0</v>
      </c>
      <c r="B103" s="23">
        <v>0</v>
      </c>
      <c r="C103" s="24">
        <v>0</v>
      </c>
      <c r="D103" s="25">
        <f t="shared" si="31"/>
        <v>0</v>
      </c>
      <c r="E103" s="49">
        <f t="shared" si="32"/>
        <v>0</v>
      </c>
      <c r="F103" s="49"/>
      <c r="G103" s="10">
        <v>1.2999999999999999E-2</v>
      </c>
      <c r="I103" s="26">
        <f t="shared" si="30"/>
        <v>0</v>
      </c>
      <c r="J103" s="14">
        <f t="shared" si="33"/>
        <v>0</v>
      </c>
      <c r="K103" s="46"/>
      <c r="L103" s="14">
        <f t="shared" si="34"/>
        <v>0</v>
      </c>
      <c r="M103" s="46"/>
      <c r="N103" s="39"/>
    </row>
    <row r="104" spans="1:14" x14ac:dyDescent="0.15">
      <c r="A104" s="23">
        <v>0</v>
      </c>
      <c r="B104" s="23">
        <v>0</v>
      </c>
      <c r="C104" s="24">
        <v>0</v>
      </c>
      <c r="D104" s="25">
        <f t="shared" si="31"/>
        <v>0</v>
      </c>
      <c r="E104" s="49">
        <f t="shared" si="32"/>
        <v>0</v>
      </c>
      <c r="F104" s="49"/>
      <c r="G104" s="10">
        <v>1.2999999999999999E-2</v>
      </c>
      <c r="I104" s="26">
        <f t="shared" si="30"/>
        <v>0</v>
      </c>
      <c r="J104" s="14">
        <f t="shared" si="33"/>
        <v>0</v>
      </c>
      <c r="K104" s="46"/>
      <c r="L104" s="14">
        <f t="shared" si="34"/>
        <v>0</v>
      </c>
      <c r="M104" s="46"/>
      <c r="N104" s="39"/>
    </row>
    <row r="105" spans="1:14" x14ac:dyDescent="0.15">
      <c r="A105" s="23">
        <v>0</v>
      </c>
      <c r="B105" s="23">
        <v>0</v>
      </c>
      <c r="C105" s="24">
        <v>0</v>
      </c>
      <c r="D105" s="25">
        <f t="shared" si="31"/>
        <v>0</v>
      </c>
      <c r="E105" s="49">
        <f t="shared" si="32"/>
        <v>0</v>
      </c>
      <c r="F105" s="49"/>
      <c r="G105" s="10">
        <v>1.2999999999999999E-2</v>
      </c>
      <c r="I105" s="26">
        <f t="shared" si="30"/>
        <v>0</v>
      </c>
      <c r="J105" s="14">
        <f t="shared" si="33"/>
        <v>0</v>
      </c>
      <c r="K105" s="47"/>
      <c r="L105" s="14">
        <f t="shared" si="34"/>
        <v>0</v>
      </c>
      <c r="M105" s="47"/>
      <c r="N105" s="39"/>
    </row>
    <row r="106" spans="1:14" x14ac:dyDescent="0.15">
      <c r="A106" s="28"/>
      <c r="B106" s="28"/>
      <c r="C106" s="29"/>
      <c r="D106" s="30"/>
      <c r="E106" s="30"/>
      <c r="F106" s="30"/>
      <c r="G106" s="31"/>
      <c r="I106" s="32"/>
      <c r="J106" s="33"/>
      <c r="K106" s="33"/>
      <c r="L106" s="33"/>
      <c r="M106" s="33"/>
      <c r="N106" s="34"/>
    </row>
    <row r="108" spans="1:14" x14ac:dyDescent="0.15">
      <c r="A108" s="11" t="s">
        <v>28</v>
      </c>
      <c r="B108" s="5" t="s">
        <v>11</v>
      </c>
      <c r="C108" s="11"/>
      <c r="D108" s="12" t="s">
        <v>22</v>
      </c>
      <c r="E108" s="52" t="str">
        <f>$N$5</f>
        <v>psi</v>
      </c>
      <c r="F108" s="52"/>
      <c r="G108" s="4"/>
      <c r="I108" s="18" t="s">
        <v>28</v>
      </c>
      <c r="J108" s="13" t="str">
        <f>B108</f>
        <v>CH8</v>
      </c>
      <c r="K108" s="6"/>
      <c r="L108" s="12"/>
      <c r="M108" s="5"/>
      <c r="N108" s="13"/>
    </row>
    <row r="109" spans="1:14" ht="15" customHeight="1" x14ac:dyDescent="0.15">
      <c r="A109" s="54" t="s">
        <v>30</v>
      </c>
      <c r="B109" s="54" t="s">
        <v>30</v>
      </c>
      <c r="C109" s="56"/>
      <c r="D109" s="57" t="s">
        <v>33</v>
      </c>
      <c r="E109" s="59" t="s">
        <v>34</v>
      </c>
      <c r="F109" s="60"/>
      <c r="G109" s="50" t="s">
        <v>3</v>
      </c>
      <c r="I109" s="36" t="s">
        <v>30</v>
      </c>
      <c r="J109" s="43" t="s">
        <v>44</v>
      </c>
      <c r="K109" s="42" t="s">
        <v>23</v>
      </c>
      <c r="L109" s="41" t="s">
        <v>45</v>
      </c>
      <c r="M109" s="39" t="s">
        <v>23</v>
      </c>
      <c r="N109" s="40" t="s">
        <v>43</v>
      </c>
    </row>
    <row r="110" spans="1:14" x14ac:dyDescent="0.15">
      <c r="A110" s="55"/>
      <c r="B110" s="8" t="s">
        <v>31</v>
      </c>
      <c r="C110" s="9" t="s">
        <v>32</v>
      </c>
      <c r="D110" s="58"/>
      <c r="E110" s="61"/>
      <c r="F110" s="62"/>
      <c r="G110" s="51"/>
      <c r="I110" s="35" t="str">
        <f>"（"&amp;$N$5&amp;"）"</f>
        <v>（psi）</v>
      </c>
      <c r="J110" s="44"/>
      <c r="K110" s="42"/>
      <c r="L110" s="41"/>
      <c r="M110" s="39"/>
      <c r="N110" s="39"/>
    </row>
    <row r="111" spans="1:14" x14ac:dyDescent="0.15">
      <c r="A111" s="23">
        <v>0</v>
      </c>
      <c r="B111" s="23">
        <v>0</v>
      </c>
      <c r="C111" s="24">
        <v>0</v>
      </c>
      <c r="D111" s="25">
        <f>IF(ABS(B111-A111)&gt;ABS(C111-A111),B111-A111,C111-A111)</f>
        <v>0</v>
      </c>
      <c r="E111" s="49">
        <f>ABS(B111-C111)</f>
        <v>0</v>
      </c>
      <c r="F111" s="49"/>
      <c r="G111" s="10">
        <v>1.2999999999999999E-2</v>
      </c>
      <c r="I111" s="26">
        <f t="shared" ref="I111:I119" si="35">A111</f>
        <v>0</v>
      </c>
      <c r="J111" s="14">
        <f>ABS(D111)/($N$6-$L$6)</f>
        <v>0</v>
      </c>
      <c r="K111" s="45">
        <f>MAX(J111:J119)</f>
        <v>0</v>
      </c>
      <c r="L111" s="14">
        <f>ABS(E111)/($N$6-$L$6)</f>
        <v>0</v>
      </c>
      <c r="M111" s="45">
        <f>MAX(L111:L119)</f>
        <v>0</v>
      </c>
      <c r="N111" s="39"/>
    </row>
    <row r="112" spans="1:14" x14ac:dyDescent="0.15">
      <c r="A112" s="23">
        <v>0</v>
      </c>
      <c r="B112" s="23">
        <v>0</v>
      </c>
      <c r="C112" s="24">
        <v>0</v>
      </c>
      <c r="D112" s="25">
        <f t="shared" ref="D112:D119" si="36">IF(ABS(B112-A112)&gt;ABS(C112-A112),B112-A112,C112-A112)</f>
        <v>0</v>
      </c>
      <c r="E112" s="49">
        <f t="shared" ref="E112:E119" si="37">ABS(B112-C112)</f>
        <v>0</v>
      </c>
      <c r="F112" s="49"/>
      <c r="G112" s="10">
        <v>1.2999999999999999E-2</v>
      </c>
      <c r="I112" s="26">
        <f t="shared" si="35"/>
        <v>0</v>
      </c>
      <c r="J112" s="14">
        <f t="shared" ref="J112:J119" si="38">ABS(D112)/($N$6-$L$6)</f>
        <v>0</v>
      </c>
      <c r="K112" s="46"/>
      <c r="L112" s="14">
        <f t="shared" ref="L112:L119" si="39">ABS(E112)/($N$6-$L$6)</f>
        <v>0</v>
      </c>
      <c r="M112" s="46"/>
      <c r="N112" s="39"/>
    </row>
    <row r="113" spans="1:14" x14ac:dyDescent="0.15">
      <c r="A113" s="23">
        <v>0</v>
      </c>
      <c r="B113" s="23">
        <v>0</v>
      </c>
      <c r="C113" s="24">
        <v>0</v>
      </c>
      <c r="D113" s="25">
        <f t="shared" si="36"/>
        <v>0</v>
      </c>
      <c r="E113" s="49">
        <f t="shared" si="37"/>
        <v>0</v>
      </c>
      <c r="F113" s="49"/>
      <c r="G113" s="10">
        <v>1.2999999999999999E-2</v>
      </c>
      <c r="I113" s="26">
        <f t="shared" si="35"/>
        <v>0</v>
      </c>
      <c r="J113" s="14">
        <f t="shared" si="38"/>
        <v>0</v>
      </c>
      <c r="K113" s="46"/>
      <c r="L113" s="14">
        <f t="shared" si="39"/>
        <v>0</v>
      </c>
      <c r="M113" s="46"/>
      <c r="N113" s="39"/>
    </row>
    <row r="114" spans="1:14" x14ac:dyDescent="0.15">
      <c r="A114" s="23">
        <v>0</v>
      </c>
      <c r="B114" s="23">
        <v>0</v>
      </c>
      <c r="C114" s="24">
        <v>0</v>
      </c>
      <c r="D114" s="25">
        <f t="shared" si="36"/>
        <v>0</v>
      </c>
      <c r="E114" s="49">
        <f t="shared" si="37"/>
        <v>0</v>
      </c>
      <c r="F114" s="49"/>
      <c r="G114" s="10">
        <v>1.2999999999999999E-2</v>
      </c>
      <c r="I114" s="26">
        <f t="shared" si="35"/>
        <v>0</v>
      </c>
      <c r="J114" s="14">
        <f t="shared" si="38"/>
        <v>0</v>
      </c>
      <c r="K114" s="46"/>
      <c r="L114" s="14">
        <f t="shared" si="39"/>
        <v>0</v>
      </c>
      <c r="M114" s="46"/>
      <c r="N114" s="39"/>
    </row>
    <row r="115" spans="1:14" x14ac:dyDescent="0.15">
      <c r="A115" s="23">
        <v>0</v>
      </c>
      <c r="B115" s="23">
        <v>0</v>
      </c>
      <c r="C115" s="24">
        <v>0</v>
      </c>
      <c r="D115" s="25">
        <f t="shared" si="36"/>
        <v>0</v>
      </c>
      <c r="E115" s="49">
        <f t="shared" si="37"/>
        <v>0</v>
      </c>
      <c r="F115" s="49"/>
      <c r="G115" s="10">
        <v>1.2999999999999999E-2</v>
      </c>
      <c r="I115" s="26">
        <f t="shared" si="35"/>
        <v>0</v>
      </c>
      <c r="J115" s="14">
        <f t="shared" si="38"/>
        <v>0</v>
      </c>
      <c r="K115" s="46"/>
      <c r="L115" s="14">
        <f t="shared" si="39"/>
        <v>0</v>
      </c>
      <c r="M115" s="46"/>
      <c r="N115" s="39"/>
    </row>
    <row r="116" spans="1:14" x14ac:dyDescent="0.15">
      <c r="A116" s="23">
        <v>0</v>
      </c>
      <c r="B116" s="23">
        <v>0</v>
      </c>
      <c r="C116" s="24">
        <v>0</v>
      </c>
      <c r="D116" s="25">
        <f t="shared" si="36"/>
        <v>0</v>
      </c>
      <c r="E116" s="49">
        <f t="shared" si="37"/>
        <v>0</v>
      </c>
      <c r="F116" s="49"/>
      <c r="G116" s="10">
        <v>1.2999999999999999E-2</v>
      </c>
      <c r="I116" s="26">
        <f t="shared" si="35"/>
        <v>0</v>
      </c>
      <c r="J116" s="14">
        <f t="shared" si="38"/>
        <v>0</v>
      </c>
      <c r="K116" s="46"/>
      <c r="L116" s="14">
        <f t="shared" si="39"/>
        <v>0</v>
      </c>
      <c r="M116" s="46"/>
      <c r="N116" s="39"/>
    </row>
    <row r="117" spans="1:14" x14ac:dyDescent="0.15">
      <c r="A117" s="23">
        <v>0</v>
      </c>
      <c r="B117" s="23">
        <v>0</v>
      </c>
      <c r="C117" s="24">
        <v>0</v>
      </c>
      <c r="D117" s="25">
        <f t="shared" si="36"/>
        <v>0</v>
      </c>
      <c r="E117" s="49">
        <f t="shared" si="37"/>
        <v>0</v>
      </c>
      <c r="F117" s="49"/>
      <c r="G117" s="10">
        <v>1.2999999999999999E-2</v>
      </c>
      <c r="I117" s="26">
        <f t="shared" si="35"/>
        <v>0</v>
      </c>
      <c r="J117" s="14">
        <f t="shared" si="38"/>
        <v>0</v>
      </c>
      <c r="K117" s="46"/>
      <c r="L117" s="14">
        <f t="shared" si="39"/>
        <v>0</v>
      </c>
      <c r="M117" s="46"/>
      <c r="N117" s="39"/>
    </row>
    <row r="118" spans="1:14" x14ac:dyDescent="0.15">
      <c r="A118" s="23">
        <v>0</v>
      </c>
      <c r="B118" s="23">
        <v>0</v>
      </c>
      <c r="C118" s="24">
        <v>0</v>
      </c>
      <c r="D118" s="25">
        <f t="shared" si="36"/>
        <v>0</v>
      </c>
      <c r="E118" s="49">
        <f t="shared" si="37"/>
        <v>0</v>
      </c>
      <c r="F118" s="49"/>
      <c r="G118" s="10">
        <v>1.2999999999999999E-2</v>
      </c>
      <c r="I118" s="26">
        <f t="shared" si="35"/>
        <v>0</v>
      </c>
      <c r="J118" s="14">
        <f t="shared" si="38"/>
        <v>0</v>
      </c>
      <c r="K118" s="46"/>
      <c r="L118" s="14">
        <f t="shared" si="39"/>
        <v>0</v>
      </c>
      <c r="M118" s="46"/>
      <c r="N118" s="39"/>
    </row>
    <row r="119" spans="1:14" x14ac:dyDescent="0.15">
      <c r="A119" s="23">
        <v>0</v>
      </c>
      <c r="B119" s="23">
        <v>0</v>
      </c>
      <c r="C119" s="24">
        <v>0</v>
      </c>
      <c r="D119" s="25">
        <f t="shared" si="36"/>
        <v>0</v>
      </c>
      <c r="E119" s="49">
        <f t="shared" si="37"/>
        <v>0</v>
      </c>
      <c r="F119" s="49"/>
      <c r="G119" s="10">
        <v>1.2999999999999999E-2</v>
      </c>
      <c r="I119" s="26">
        <f t="shared" si="35"/>
        <v>0</v>
      </c>
      <c r="J119" s="14">
        <f t="shared" si="38"/>
        <v>0</v>
      </c>
      <c r="K119" s="47"/>
      <c r="L119" s="14">
        <f t="shared" si="39"/>
        <v>0</v>
      </c>
      <c r="M119" s="47"/>
      <c r="N119" s="39"/>
    </row>
    <row r="120" spans="1:14" x14ac:dyDescent="0.15">
      <c r="A120" s="28"/>
      <c r="B120" s="28"/>
      <c r="C120" s="29"/>
      <c r="D120" s="30"/>
      <c r="E120" s="30"/>
      <c r="F120" s="30"/>
      <c r="G120" s="31"/>
      <c r="I120" s="32"/>
      <c r="J120" s="33"/>
      <c r="K120" s="33"/>
      <c r="L120" s="33"/>
      <c r="M120" s="33"/>
      <c r="N120" s="34"/>
    </row>
    <row r="122" spans="1:14" x14ac:dyDescent="0.15">
      <c r="A122" s="11" t="s">
        <v>28</v>
      </c>
      <c r="B122" s="5" t="s">
        <v>12</v>
      </c>
      <c r="C122" s="11"/>
      <c r="D122" s="12" t="s">
        <v>22</v>
      </c>
      <c r="E122" s="52" t="str">
        <f>$N$5</f>
        <v>psi</v>
      </c>
      <c r="F122" s="52"/>
      <c r="G122" s="4"/>
      <c r="I122" s="18" t="s">
        <v>28</v>
      </c>
      <c r="J122" s="13" t="str">
        <f>B122</f>
        <v>CH9</v>
      </c>
      <c r="K122" s="6"/>
      <c r="L122" s="12"/>
      <c r="M122" s="5"/>
      <c r="N122" s="13"/>
    </row>
    <row r="123" spans="1:14" ht="15" customHeight="1" x14ac:dyDescent="0.15">
      <c r="A123" s="54" t="s">
        <v>30</v>
      </c>
      <c r="B123" s="54" t="s">
        <v>30</v>
      </c>
      <c r="C123" s="56"/>
      <c r="D123" s="57" t="s">
        <v>33</v>
      </c>
      <c r="E123" s="59" t="s">
        <v>34</v>
      </c>
      <c r="F123" s="60"/>
      <c r="G123" s="50" t="s">
        <v>3</v>
      </c>
      <c r="I123" s="36" t="s">
        <v>30</v>
      </c>
      <c r="J123" s="43" t="s">
        <v>44</v>
      </c>
      <c r="K123" s="42" t="s">
        <v>23</v>
      </c>
      <c r="L123" s="41" t="s">
        <v>45</v>
      </c>
      <c r="M123" s="39" t="s">
        <v>23</v>
      </c>
      <c r="N123" s="40" t="s">
        <v>43</v>
      </c>
    </row>
    <row r="124" spans="1:14" x14ac:dyDescent="0.15">
      <c r="A124" s="55"/>
      <c r="B124" s="8" t="s">
        <v>31</v>
      </c>
      <c r="C124" s="9" t="s">
        <v>32</v>
      </c>
      <c r="D124" s="58"/>
      <c r="E124" s="61"/>
      <c r="F124" s="62"/>
      <c r="G124" s="51"/>
      <c r="I124" s="35" t="str">
        <f>"（"&amp;$N$5&amp;"）"</f>
        <v>（psi）</v>
      </c>
      <c r="J124" s="44"/>
      <c r="K124" s="42"/>
      <c r="L124" s="41"/>
      <c r="M124" s="39"/>
      <c r="N124" s="39"/>
    </row>
    <row r="125" spans="1:14" x14ac:dyDescent="0.15">
      <c r="A125" s="23">
        <v>0</v>
      </c>
      <c r="B125" s="23">
        <v>0</v>
      </c>
      <c r="C125" s="24">
        <v>0</v>
      </c>
      <c r="D125" s="25">
        <f>IF(ABS(B125-A125)&gt;ABS(C125-A125),B125-A125,C125-A125)</f>
        <v>0</v>
      </c>
      <c r="E125" s="49">
        <f>ABS(B125-C125)</f>
        <v>0</v>
      </c>
      <c r="F125" s="49"/>
      <c r="G125" s="10">
        <v>1.2999999999999999E-2</v>
      </c>
      <c r="I125" s="26">
        <f t="shared" ref="I125:I133" si="40">A125</f>
        <v>0</v>
      </c>
      <c r="J125" s="14">
        <f>ABS(D125)/($N$6-$L$6)</f>
        <v>0</v>
      </c>
      <c r="K125" s="45">
        <f>MAX(J125:J133)</f>
        <v>0</v>
      </c>
      <c r="L125" s="14">
        <f>ABS(E125)/($N$6-$L$6)</f>
        <v>0</v>
      </c>
      <c r="M125" s="45">
        <f>MAX(L125:L133)</f>
        <v>0</v>
      </c>
      <c r="N125" s="39"/>
    </row>
    <row r="126" spans="1:14" x14ac:dyDescent="0.15">
      <c r="A126" s="23">
        <v>0</v>
      </c>
      <c r="B126" s="23">
        <v>0</v>
      </c>
      <c r="C126" s="24">
        <v>0</v>
      </c>
      <c r="D126" s="25">
        <f t="shared" ref="D126:D133" si="41">IF(ABS(B126-A126)&gt;ABS(C126-A126),B126-A126,C126-A126)</f>
        <v>0</v>
      </c>
      <c r="E126" s="49">
        <f t="shared" ref="E126:E133" si="42">ABS(B126-C126)</f>
        <v>0</v>
      </c>
      <c r="F126" s="49"/>
      <c r="G126" s="10">
        <v>1.2999999999999999E-2</v>
      </c>
      <c r="I126" s="26">
        <f t="shared" si="40"/>
        <v>0</v>
      </c>
      <c r="J126" s="14">
        <f t="shared" ref="J126:J133" si="43">ABS(D126)/($N$6-$L$6)</f>
        <v>0</v>
      </c>
      <c r="K126" s="46"/>
      <c r="L126" s="14">
        <f t="shared" ref="L126:L133" si="44">ABS(E126)/($N$6-$L$6)</f>
        <v>0</v>
      </c>
      <c r="M126" s="46"/>
      <c r="N126" s="39"/>
    </row>
    <row r="127" spans="1:14" x14ac:dyDescent="0.15">
      <c r="A127" s="23">
        <v>0</v>
      </c>
      <c r="B127" s="23">
        <v>0</v>
      </c>
      <c r="C127" s="24">
        <v>0</v>
      </c>
      <c r="D127" s="25">
        <f t="shared" si="41"/>
        <v>0</v>
      </c>
      <c r="E127" s="49">
        <f t="shared" si="42"/>
        <v>0</v>
      </c>
      <c r="F127" s="49"/>
      <c r="G127" s="10">
        <v>1.2999999999999999E-2</v>
      </c>
      <c r="I127" s="26">
        <f t="shared" si="40"/>
        <v>0</v>
      </c>
      <c r="J127" s="14">
        <f t="shared" si="43"/>
        <v>0</v>
      </c>
      <c r="K127" s="46"/>
      <c r="L127" s="14">
        <f t="shared" si="44"/>
        <v>0</v>
      </c>
      <c r="M127" s="46"/>
      <c r="N127" s="39"/>
    </row>
    <row r="128" spans="1:14" x14ac:dyDescent="0.15">
      <c r="A128" s="23">
        <v>0</v>
      </c>
      <c r="B128" s="23">
        <v>0</v>
      </c>
      <c r="C128" s="24">
        <v>0</v>
      </c>
      <c r="D128" s="25">
        <f t="shared" si="41"/>
        <v>0</v>
      </c>
      <c r="E128" s="49">
        <f t="shared" si="42"/>
        <v>0</v>
      </c>
      <c r="F128" s="49"/>
      <c r="G128" s="10">
        <v>1.2999999999999999E-2</v>
      </c>
      <c r="I128" s="26">
        <f t="shared" si="40"/>
        <v>0</v>
      </c>
      <c r="J128" s="14">
        <f t="shared" si="43"/>
        <v>0</v>
      </c>
      <c r="K128" s="46"/>
      <c r="L128" s="14">
        <f t="shared" si="44"/>
        <v>0</v>
      </c>
      <c r="M128" s="46"/>
      <c r="N128" s="39"/>
    </row>
    <row r="129" spans="1:14" x14ac:dyDescent="0.15">
      <c r="A129" s="23">
        <v>0</v>
      </c>
      <c r="B129" s="23">
        <v>0</v>
      </c>
      <c r="C129" s="24">
        <v>0</v>
      </c>
      <c r="D129" s="25">
        <f t="shared" si="41"/>
        <v>0</v>
      </c>
      <c r="E129" s="49">
        <f t="shared" si="42"/>
        <v>0</v>
      </c>
      <c r="F129" s="49"/>
      <c r="G129" s="10">
        <v>1.2999999999999999E-2</v>
      </c>
      <c r="I129" s="26">
        <f t="shared" si="40"/>
        <v>0</v>
      </c>
      <c r="J129" s="14">
        <f t="shared" si="43"/>
        <v>0</v>
      </c>
      <c r="K129" s="46"/>
      <c r="L129" s="14">
        <f t="shared" si="44"/>
        <v>0</v>
      </c>
      <c r="M129" s="46"/>
      <c r="N129" s="39"/>
    </row>
    <row r="130" spans="1:14" x14ac:dyDescent="0.15">
      <c r="A130" s="23">
        <v>0</v>
      </c>
      <c r="B130" s="23">
        <v>0</v>
      </c>
      <c r="C130" s="24">
        <v>0</v>
      </c>
      <c r="D130" s="25">
        <f t="shared" si="41"/>
        <v>0</v>
      </c>
      <c r="E130" s="49">
        <f t="shared" si="42"/>
        <v>0</v>
      </c>
      <c r="F130" s="49"/>
      <c r="G130" s="10">
        <v>1.2999999999999999E-2</v>
      </c>
      <c r="I130" s="26">
        <f t="shared" si="40"/>
        <v>0</v>
      </c>
      <c r="J130" s="14">
        <f t="shared" si="43"/>
        <v>0</v>
      </c>
      <c r="K130" s="46"/>
      <c r="L130" s="14">
        <f t="shared" si="44"/>
        <v>0</v>
      </c>
      <c r="M130" s="46"/>
      <c r="N130" s="39"/>
    </row>
    <row r="131" spans="1:14" x14ac:dyDescent="0.15">
      <c r="A131" s="23">
        <v>0</v>
      </c>
      <c r="B131" s="23">
        <v>0</v>
      </c>
      <c r="C131" s="24">
        <v>0</v>
      </c>
      <c r="D131" s="25">
        <f t="shared" si="41"/>
        <v>0</v>
      </c>
      <c r="E131" s="49">
        <f t="shared" si="42"/>
        <v>0</v>
      </c>
      <c r="F131" s="49"/>
      <c r="G131" s="10">
        <v>1.2999999999999999E-2</v>
      </c>
      <c r="I131" s="26">
        <f t="shared" si="40"/>
        <v>0</v>
      </c>
      <c r="J131" s="14">
        <f t="shared" si="43"/>
        <v>0</v>
      </c>
      <c r="K131" s="46"/>
      <c r="L131" s="14">
        <f t="shared" si="44"/>
        <v>0</v>
      </c>
      <c r="M131" s="46"/>
      <c r="N131" s="39"/>
    </row>
    <row r="132" spans="1:14" x14ac:dyDescent="0.15">
      <c r="A132" s="23">
        <v>0</v>
      </c>
      <c r="B132" s="23">
        <v>0</v>
      </c>
      <c r="C132" s="24">
        <v>0</v>
      </c>
      <c r="D132" s="25">
        <f t="shared" si="41"/>
        <v>0</v>
      </c>
      <c r="E132" s="49">
        <f t="shared" si="42"/>
        <v>0</v>
      </c>
      <c r="F132" s="49"/>
      <c r="G132" s="10">
        <v>1.2999999999999999E-2</v>
      </c>
      <c r="I132" s="26">
        <f t="shared" si="40"/>
        <v>0</v>
      </c>
      <c r="J132" s="14">
        <f t="shared" si="43"/>
        <v>0</v>
      </c>
      <c r="K132" s="46"/>
      <c r="L132" s="14">
        <f t="shared" si="44"/>
        <v>0</v>
      </c>
      <c r="M132" s="46"/>
      <c r="N132" s="39"/>
    </row>
    <row r="133" spans="1:14" x14ac:dyDescent="0.15">
      <c r="A133" s="23">
        <v>0</v>
      </c>
      <c r="B133" s="23">
        <v>0</v>
      </c>
      <c r="C133" s="24">
        <v>0</v>
      </c>
      <c r="D133" s="25">
        <f t="shared" si="41"/>
        <v>0</v>
      </c>
      <c r="E133" s="49">
        <f t="shared" si="42"/>
        <v>0</v>
      </c>
      <c r="F133" s="49"/>
      <c r="G133" s="10">
        <v>1.2999999999999999E-2</v>
      </c>
      <c r="I133" s="26">
        <f t="shared" si="40"/>
        <v>0</v>
      </c>
      <c r="J133" s="14">
        <f t="shared" si="43"/>
        <v>0</v>
      </c>
      <c r="K133" s="47"/>
      <c r="L133" s="14">
        <f t="shared" si="44"/>
        <v>0</v>
      </c>
      <c r="M133" s="47"/>
      <c r="N133" s="39"/>
    </row>
    <row r="134" spans="1:14" x14ac:dyDescent="0.15">
      <c r="I134" s="32"/>
      <c r="J134" s="33"/>
      <c r="K134" s="33"/>
      <c r="L134" s="33"/>
      <c r="M134" s="33"/>
      <c r="N134" s="34"/>
    </row>
    <row r="138" spans="1:14" x14ac:dyDescent="0.15">
      <c r="A138" s="11" t="s">
        <v>28</v>
      </c>
      <c r="B138" s="5" t="s">
        <v>13</v>
      </c>
      <c r="C138" s="11"/>
      <c r="D138" s="12" t="s">
        <v>22</v>
      </c>
      <c r="E138" s="52" t="str">
        <f>$N$5</f>
        <v>psi</v>
      </c>
      <c r="F138" s="52"/>
      <c r="G138" s="4"/>
      <c r="I138" s="18" t="s">
        <v>28</v>
      </c>
      <c r="J138" s="13" t="str">
        <f>B138</f>
        <v>CH10</v>
      </c>
      <c r="K138" s="6"/>
      <c r="L138" s="12"/>
      <c r="M138" s="5"/>
      <c r="N138" s="13"/>
    </row>
    <row r="139" spans="1:14" ht="15" customHeight="1" x14ac:dyDescent="0.15">
      <c r="A139" s="54" t="s">
        <v>30</v>
      </c>
      <c r="B139" s="54" t="s">
        <v>30</v>
      </c>
      <c r="C139" s="56"/>
      <c r="D139" s="57" t="s">
        <v>33</v>
      </c>
      <c r="E139" s="59" t="s">
        <v>34</v>
      </c>
      <c r="F139" s="60"/>
      <c r="G139" s="50" t="s">
        <v>3</v>
      </c>
      <c r="I139" s="36" t="s">
        <v>30</v>
      </c>
      <c r="J139" s="43" t="s">
        <v>44</v>
      </c>
      <c r="K139" s="42" t="s">
        <v>23</v>
      </c>
      <c r="L139" s="41" t="s">
        <v>45</v>
      </c>
      <c r="M139" s="39" t="s">
        <v>23</v>
      </c>
      <c r="N139" s="40" t="s">
        <v>43</v>
      </c>
    </row>
    <row r="140" spans="1:14" x14ac:dyDescent="0.15">
      <c r="A140" s="55"/>
      <c r="B140" s="8" t="s">
        <v>31</v>
      </c>
      <c r="C140" s="9" t="s">
        <v>32</v>
      </c>
      <c r="D140" s="58"/>
      <c r="E140" s="61"/>
      <c r="F140" s="62"/>
      <c r="G140" s="51"/>
      <c r="I140" s="35" t="str">
        <f>"（"&amp;$N$5&amp;"）"</f>
        <v>（psi）</v>
      </c>
      <c r="J140" s="44"/>
      <c r="K140" s="42"/>
      <c r="L140" s="41"/>
      <c r="M140" s="39"/>
      <c r="N140" s="39"/>
    </row>
    <row r="141" spans="1:14" x14ac:dyDescent="0.15">
      <c r="A141" s="23">
        <v>0</v>
      </c>
      <c r="B141" s="23">
        <v>0</v>
      </c>
      <c r="C141" s="24">
        <v>0</v>
      </c>
      <c r="D141" s="25">
        <f>IF(ABS(B141-A141)&gt;ABS(C141-A141),B141-A141,C141-A141)</f>
        <v>0</v>
      </c>
      <c r="E141" s="49">
        <f>ABS(B141-C141)</f>
        <v>0</v>
      </c>
      <c r="F141" s="49"/>
      <c r="G141" s="10">
        <v>1.2999999999999999E-2</v>
      </c>
      <c r="I141" s="26">
        <f t="shared" ref="I141:I149" si="45">A141</f>
        <v>0</v>
      </c>
      <c r="J141" s="14">
        <f>ABS(D141)/($N$6-$L$6)</f>
        <v>0</v>
      </c>
      <c r="K141" s="45">
        <f>MAX(J141:J149)</f>
        <v>0</v>
      </c>
      <c r="L141" s="14">
        <f>ABS(E141)/($N$6-$L$6)</f>
        <v>0</v>
      </c>
      <c r="M141" s="45">
        <f>MAX(L141:L149)</f>
        <v>0</v>
      </c>
      <c r="N141" s="39"/>
    </row>
    <row r="142" spans="1:14" x14ac:dyDescent="0.15">
      <c r="A142" s="23">
        <v>0</v>
      </c>
      <c r="B142" s="23">
        <v>0</v>
      </c>
      <c r="C142" s="24">
        <v>0</v>
      </c>
      <c r="D142" s="25">
        <f t="shared" ref="D142:D149" si="46">IF(ABS(B142-A142)&gt;ABS(C142-A142),B142-A142,C142-A142)</f>
        <v>0</v>
      </c>
      <c r="E142" s="49">
        <f t="shared" ref="E142:E149" si="47">ABS(B142-C142)</f>
        <v>0</v>
      </c>
      <c r="F142" s="49"/>
      <c r="G142" s="10">
        <v>1.2999999999999999E-2</v>
      </c>
      <c r="I142" s="26">
        <f t="shared" si="45"/>
        <v>0</v>
      </c>
      <c r="J142" s="14">
        <f t="shared" ref="J142:J149" si="48">ABS(D142)/($N$6-$L$6)</f>
        <v>0</v>
      </c>
      <c r="K142" s="46"/>
      <c r="L142" s="14">
        <f t="shared" ref="L142:L149" si="49">ABS(E142)/($N$6-$L$6)</f>
        <v>0</v>
      </c>
      <c r="M142" s="46"/>
      <c r="N142" s="39"/>
    </row>
    <row r="143" spans="1:14" x14ac:dyDescent="0.15">
      <c r="A143" s="23">
        <v>0</v>
      </c>
      <c r="B143" s="23">
        <v>0</v>
      </c>
      <c r="C143" s="24">
        <v>0</v>
      </c>
      <c r="D143" s="25">
        <f t="shared" si="46"/>
        <v>0</v>
      </c>
      <c r="E143" s="49">
        <f t="shared" si="47"/>
        <v>0</v>
      </c>
      <c r="F143" s="49"/>
      <c r="G143" s="10">
        <v>1.2999999999999999E-2</v>
      </c>
      <c r="I143" s="26">
        <f t="shared" si="45"/>
        <v>0</v>
      </c>
      <c r="J143" s="14">
        <f t="shared" si="48"/>
        <v>0</v>
      </c>
      <c r="K143" s="46"/>
      <c r="L143" s="14">
        <f t="shared" si="49"/>
        <v>0</v>
      </c>
      <c r="M143" s="46"/>
      <c r="N143" s="39"/>
    </row>
    <row r="144" spans="1:14" x14ac:dyDescent="0.15">
      <c r="A144" s="23">
        <v>0</v>
      </c>
      <c r="B144" s="23">
        <v>0</v>
      </c>
      <c r="C144" s="24">
        <v>0</v>
      </c>
      <c r="D144" s="25">
        <f t="shared" si="46"/>
        <v>0</v>
      </c>
      <c r="E144" s="49">
        <f t="shared" si="47"/>
        <v>0</v>
      </c>
      <c r="F144" s="49"/>
      <c r="G144" s="10">
        <v>1.2999999999999999E-2</v>
      </c>
      <c r="I144" s="26">
        <f t="shared" si="45"/>
        <v>0</v>
      </c>
      <c r="J144" s="14">
        <f t="shared" si="48"/>
        <v>0</v>
      </c>
      <c r="K144" s="46"/>
      <c r="L144" s="14">
        <f t="shared" si="49"/>
        <v>0</v>
      </c>
      <c r="M144" s="46"/>
      <c r="N144" s="39"/>
    </row>
    <row r="145" spans="1:14" x14ac:dyDescent="0.15">
      <c r="A145" s="23">
        <v>0</v>
      </c>
      <c r="B145" s="23">
        <v>0</v>
      </c>
      <c r="C145" s="24">
        <v>0</v>
      </c>
      <c r="D145" s="25">
        <f t="shared" si="46"/>
        <v>0</v>
      </c>
      <c r="E145" s="49">
        <f t="shared" si="47"/>
        <v>0</v>
      </c>
      <c r="F145" s="49"/>
      <c r="G145" s="10">
        <v>1.2999999999999999E-2</v>
      </c>
      <c r="I145" s="26">
        <f t="shared" si="45"/>
        <v>0</v>
      </c>
      <c r="J145" s="14">
        <f t="shared" si="48"/>
        <v>0</v>
      </c>
      <c r="K145" s="46"/>
      <c r="L145" s="14">
        <f t="shared" si="49"/>
        <v>0</v>
      </c>
      <c r="M145" s="46"/>
      <c r="N145" s="39"/>
    </row>
    <row r="146" spans="1:14" x14ac:dyDescent="0.15">
      <c r="A146" s="23">
        <v>0</v>
      </c>
      <c r="B146" s="23">
        <v>0</v>
      </c>
      <c r="C146" s="24">
        <v>0</v>
      </c>
      <c r="D146" s="25">
        <f t="shared" si="46"/>
        <v>0</v>
      </c>
      <c r="E146" s="49">
        <f t="shared" si="47"/>
        <v>0</v>
      </c>
      <c r="F146" s="49"/>
      <c r="G146" s="10">
        <v>1.2999999999999999E-2</v>
      </c>
      <c r="I146" s="26">
        <f t="shared" si="45"/>
        <v>0</v>
      </c>
      <c r="J146" s="14">
        <f t="shared" si="48"/>
        <v>0</v>
      </c>
      <c r="K146" s="46"/>
      <c r="L146" s="14">
        <f t="shared" si="49"/>
        <v>0</v>
      </c>
      <c r="M146" s="46"/>
      <c r="N146" s="39"/>
    </row>
    <row r="147" spans="1:14" x14ac:dyDescent="0.15">
      <c r="A147" s="23">
        <v>0</v>
      </c>
      <c r="B147" s="23">
        <v>0</v>
      </c>
      <c r="C147" s="24">
        <v>0</v>
      </c>
      <c r="D147" s="25">
        <f t="shared" si="46"/>
        <v>0</v>
      </c>
      <c r="E147" s="49">
        <f t="shared" si="47"/>
        <v>0</v>
      </c>
      <c r="F147" s="49"/>
      <c r="G147" s="10">
        <v>1.2999999999999999E-2</v>
      </c>
      <c r="I147" s="26">
        <f t="shared" si="45"/>
        <v>0</v>
      </c>
      <c r="J147" s="14">
        <f t="shared" si="48"/>
        <v>0</v>
      </c>
      <c r="K147" s="46"/>
      <c r="L147" s="14">
        <f t="shared" si="49"/>
        <v>0</v>
      </c>
      <c r="M147" s="46"/>
      <c r="N147" s="39"/>
    </row>
    <row r="148" spans="1:14" x14ac:dyDescent="0.15">
      <c r="A148" s="23">
        <v>0</v>
      </c>
      <c r="B148" s="23">
        <v>0</v>
      </c>
      <c r="C148" s="24">
        <v>0</v>
      </c>
      <c r="D148" s="25">
        <f t="shared" si="46"/>
        <v>0</v>
      </c>
      <c r="E148" s="49">
        <f t="shared" si="47"/>
        <v>0</v>
      </c>
      <c r="F148" s="49"/>
      <c r="G148" s="10">
        <v>1.2999999999999999E-2</v>
      </c>
      <c r="I148" s="26">
        <f t="shared" si="45"/>
        <v>0</v>
      </c>
      <c r="J148" s="14">
        <f t="shared" si="48"/>
        <v>0</v>
      </c>
      <c r="K148" s="46"/>
      <c r="L148" s="14">
        <f t="shared" si="49"/>
        <v>0</v>
      </c>
      <c r="M148" s="46"/>
      <c r="N148" s="39"/>
    </row>
    <row r="149" spans="1:14" x14ac:dyDescent="0.15">
      <c r="A149" s="23">
        <v>0</v>
      </c>
      <c r="B149" s="23">
        <v>0</v>
      </c>
      <c r="C149" s="24">
        <v>0</v>
      </c>
      <c r="D149" s="25">
        <f t="shared" si="46"/>
        <v>0</v>
      </c>
      <c r="E149" s="49">
        <f t="shared" si="47"/>
        <v>0</v>
      </c>
      <c r="F149" s="49"/>
      <c r="G149" s="10">
        <v>1.2999999999999999E-2</v>
      </c>
      <c r="I149" s="26">
        <f t="shared" si="45"/>
        <v>0</v>
      </c>
      <c r="J149" s="14">
        <f t="shared" si="48"/>
        <v>0</v>
      </c>
      <c r="K149" s="47"/>
      <c r="L149" s="14">
        <f t="shared" si="49"/>
        <v>0</v>
      </c>
      <c r="M149" s="47"/>
      <c r="N149" s="39"/>
    </row>
    <row r="150" spans="1:14" x14ac:dyDescent="0.15">
      <c r="A150" s="28"/>
      <c r="B150" s="28"/>
      <c r="C150" s="29"/>
      <c r="D150" s="30"/>
      <c r="E150" s="30"/>
      <c r="F150" s="30"/>
      <c r="G150" s="31"/>
      <c r="I150" s="32"/>
      <c r="J150" s="33"/>
      <c r="K150" s="33"/>
      <c r="L150" s="33"/>
      <c r="M150" s="33"/>
      <c r="N150" s="34"/>
    </row>
    <row r="152" spans="1:14" x14ac:dyDescent="0.15">
      <c r="A152" s="11" t="s">
        <v>28</v>
      </c>
      <c r="B152" s="5" t="s">
        <v>14</v>
      </c>
      <c r="C152" s="11"/>
      <c r="D152" s="12" t="s">
        <v>22</v>
      </c>
      <c r="E152" s="52" t="str">
        <f>$N$5</f>
        <v>psi</v>
      </c>
      <c r="F152" s="52"/>
      <c r="G152" s="4"/>
      <c r="I152" s="18" t="s">
        <v>28</v>
      </c>
      <c r="J152" s="13" t="str">
        <f>B152</f>
        <v>CH11</v>
      </c>
      <c r="K152" s="6"/>
      <c r="L152" s="12"/>
      <c r="M152" s="5"/>
      <c r="N152" s="13"/>
    </row>
    <row r="153" spans="1:14" ht="15" customHeight="1" x14ac:dyDescent="0.15">
      <c r="A153" s="54" t="s">
        <v>30</v>
      </c>
      <c r="B153" s="54" t="s">
        <v>30</v>
      </c>
      <c r="C153" s="56"/>
      <c r="D153" s="57" t="s">
        <v>33</v>
      </c>
      <c r="E153" s="59" t="s">
        <v>34</v>
      </c>
      <c r="F153" s="60"/>
      <c r="G153" s="50" t="s">
        <v>3</v>
      </c>
      <c r="I153" s="36" t="s">
        <v>30</v>
      </c>
      <c r="J153" s="43" t="s">
        <v>44</v>
      </c>
      <c r="K153" s="42" t="s">
        <v>23</v>
      </c>
      <c r="L153" s="41" t="s">
        <v>45</v>
      </c>
      <c r="M153" s="39" t="s">
        <v>23</v>
      </c>
      <c r="N153" s="40" t="s">
        <v>43</v>
      </c>
    </row>
    <row r="154" spans="1:14" x14ac:dyDescent="0.15">
      <c r="A154" s="55"/>
      <c r="B154" s="8" t="s">
        <v>31</v>
      </c>
      <c r="C154" s="9" t="s">
        <v>32</v>
      </c>
      <c r="D154" s="58"/>
      <c r="E154" s="61"/>
      <c r="F154" s="62"/>
      <c r="G154" s="51"/>
      <c r="I154" s="35" t="str">
        <f>"（"&amp;$N$5&amp;"）"</f>
        <v>（psi）</v>
      </c>
      <c r="J154" s="44"/>
      <c r="K154" s="42"/>
      <c r="L154" s="41"/>
      <c r="M154" s="39"/>
      <c r="N154" s="39"/>
    </row>
    <row r="155" spans="1:14" x14ac:dyDescent="0.15">
      <c r="A155" s="23">
        <v>0</v>
      </c>
      <c r="B155" s="23">
        <v>0</v>
      </c>
      <c r="C155" s="24">
        <v>0</v>
      </c>
      <c r="D155" s="25">
        <f>IF(ABS(B155-A155)&gt;ABS(C155-A155),B155-A155,C155-A155)</f>
        <v>0</v>
      </c>
      <c r="E155" s="49">
        <f>ABS(B155-C155)</f>
        <v>0</v>
      </c>
      <c r="F155" s="49"/>
      <c r="G155" s="10">
        <v>1.2999999999999999E-2</v>
      </c>
      <c r="I155" s="26">
        <f t="shared" ref="I155:I163" si="50">A155</f>
        <v>0</v>
      </c>
      <c r="J155" s="14">
        <f>ABS(D155)/($N$6-$L$6)</f>
        <v>0</v>
      </c>
      <c r="K155" s="45">
        <f>MAX(J155:J163)</f>
        <v>0</v>
      </c>
      <c r="L155" s="14">
        <f>ABS(E155)/($N$6-$L$6)</f>
        <v>0</v>
      </c>
      <c r="M155" s="45">
        <f>MAX(L155:L163)</f>
        <v>0</v>
      </c>
      <c r="N155" s="39"/>
    </row>
    <row r="156" spans="1:14" x14ac:dyDescent="0.15">
      <c r="A156" s="23">
        <v>0</v>
      </c>
      <c r="B156" s="23">
        <v>0</v>
      </c>
      <c r="C156" s="24">
        <v>0</v>
      </c>
      <c r="D156" s="25">
        <f t="shared" ref="D156:D163" si="51">IF(ABS(B156-A156)&gt;ABS(C156-A156),B156-A156,C156-A156)</f>
        <v>0</v>
      </c>
      <c r="E156" s="49">
        <f t="shared" ref="E156:E163" si="52">ABS(B156-C156)</f>
        <v>0</v>
      </c>
      <c r="F156" s="49"/>
      <c r="G156" s="10">
        <v>1.2999999999999999E-2</v>
      </c>
      <c r="I156" s="26">
        <f t="shared" si="50"/>
        <v>0</v>
      </c>
      <c r="J156" s="14">
        <f t="shared" ref="J156:J163" si="53">ABS(D156)/($N$6-$L$6)</f>
        <v>0</v>
      </c>
      <c r="K156" s="46"/>
      <c r="L156" s="14">
        <f t="shared" ref="L156:L163" si="54">ABS(E156)/($N$6-$L$6)</f>
        <v>0</v>
      </c>
      <c r="M156" s="46"/>
      <c r="N156" s="39"/>
    </row>
    <row r="157" spans="1:14" x14ac:dyDescent="0.15">
      <c r="A157" s="23">
        <v>0</v>
      </c>
      <c r="B157" s="23">
        <v>0</v>
      </c>
      <c r="C157" s="24">
        <v>0</v>
      </c>
      <c r="D157" s="25">
        <f t="shared" si="51"/>
        <v>0</v>
      </c>
      <c r="E157" s="49">
        <f t="shared" si="52"/>
        <v>0</v>
      </c>
      <c r="F157" s="49"/>
      <c r="G157" s="10">
        <v>1.2999999999999999E-2</v>
      </c>
      <c r="I157" s="26">
        <f t="shared" si="50"/>
        <v>0</v>
      </c>
      <c r="J157" s="14">
        <f t="shared" si="53"/>
        <v>0</v>
      </c>
      <c r="K157" s="46"/>
      <c r="L157" s="14">
        <f t="shared" si="54"/>
        <v>0</v>
      </c>
      <c r="M157" s="46"/>
      <c r="N157" s="39"/>
    </row>
    <row r="158" spans="1:14" x14ac:dyDescent="0.15">
      <c r="A158" s="23">
        <v>0</v>
      </c>
      <c r="B158" s="23">
        <v>0</v>
      </c>
      <c r="C158" s="24">
        <v>0</v>
      </c>
      <c r="D158" s="25">
        <f t="shared" si="51"/>
        <v>0</v>
      </c>
      <c r="E158" s="49">
        <f t="shared" si="52"/>
        <v>0</v>
      </c>
      <c r="F158" s="49"/>
      <c r="G158" s="10">
        <v>1.2999999999999999E-2</v>
      </c>
      <c r="I158" s="26">
        <f t="shared" si="50"/>
        <v>0</v>
      </c>
      <c r="J158" s="14">
        <f t="shared" si="53"/>
        <v>0</v>
      </c>
      <c r="K158" s="46"/>
      <c r="L158" s="14">
        <f t="shared" si="54"/>
        <v>0</v>
      </c>
      <c r="M158" s="46"/>
      <c r="N158" s="39"/>
    </row>
    <row r="159" spans="1:14" x14ac:dyDescent="0.15">
      <c r="A159" s="23">
        <v>0</v>
      </c>
      <c r="B159" s="23">
        <v>0</v>
      </c>
      <c r="C159" s="24">
        <v>0</v>
      </c>
      <c r="D159" s="25">
        <f t="shared" si="51"/>
        <v>0</v>
      </c>
      <c r="E159" s="49">
        <f t="shared" si="52"/>
        <v>0</v>
      </c>
      <c r="F159" s="49"/>
      <c r="G159" s="10">
        <v>1.2999999999999999E-2</v>
      </c>
      <c r="I159" s="26">
        <f t="shared" si="50"/>
        <v>0</v>
      </c>
      <c r="J159" s="14">
        <f t="shared" si="53"/>
        <v>0</v>
      </c>
      <c r="K159" s="46"/>
      <c r="L159" s="14">
        <f t="shared" si="54"/>
        <v>0</v>
      </c>
      <c r="M159" s="46"/>
      <c r="N159" s="39"/>
    </row>
    <row r="160" spans="1:14" x14ac:dyDescent="0.15">
      <c r="A160" s="23">
        <v>0</v>
      </c>
      <c r="B160" s="23">
        <v>0</v>
      </c>
      <c r="C160" s="24">
        <v>0</v>
      </c>
      <c r="D160" s="25">
        <f t="shared" si="51"/>
        <v>0</v>
      </c>
      <c r="E160" s="49">
        <f t="shared" si="52"/>
        <v>0</v>
      </c>
      <c r="F160" s="49"/>
      <c r="G160" s="10">
        <v>1.2999999999999999E-2</v>
      </c>
      <c r="I160" s="26">
        <f t="shared" si="50"/>
        <v>0</v>
      </c>
      <c r="J160" s="14">
        <f t="shared" si="53"/>
        <v>0</v>
      </c>
      <c r="K160" s="46"/>
      <c r="L160" s="14">
        <f t="shared" si="54"/>
        <v>0</v>
      </c>
      <c r="M160" s="46"/>
      <c r="N160" s="39"/>
    </row>
    <row r="161" spans="1:14" x14ac:dyDescent="0.15">
      <c r="A161" s="23">
        <v>0</v>
      </c>
      <c r="B161" s="23">
        <v>0</v>
      </c>
      <c r="C161" s="24">
        <v>0</v>
      </c>
      <c r="D161" s="25">
        <f t="shared" si="51"/>
        <v>0</v>
      </c>
      <c r="E161" s="49">
        <f t="shared" si="52"/>
        <v>0</v>
      </c>
      <c r="F161" s="49"/>
      <c r="G161" s="10">
        <v>1.2999999999999999E-2</v>
      </c>
      <c r="I161" s="26">
        <f t="shared" si="50"/>
        <v>0</v>
      </c>
      <c r="J161" s="14">
        <f t="shared" si="53"/>
        <v>0</v>
      </c>
      <c r="K161" s="46"/>
      <c r="L161" s="14">
        <f t="shared" si="54"/>
        <v>0</v>
      </c>
      <c r="M161" s="46"/>
      <c r="N161" s="39"/>
    </row>
    <row r="162" spans="1:14" x14ac:dyDescent="0.15">
      <c r="A162" s="23">
        <v>0</v>
      </c>
      <c r="B162" s="23">
        <v>0</v>
      </c>
      <c r="C162" s="24">
        <v>0</v>
      </c>
      <c r="D162" s="25">
        <f t="shared" si="51"/>
        <v>0</v>
      </c>
      <c r="E162" s="49">
        <f t="shared" si="52"/>
        <v>0</v>
      </c>
      <c r="F162" s="49"/>
      <c r="G162" s="10">
        <v>1.2999999999999999E-2</v>
      </c>
      <c r="I162" s="26">
        <f t="shared" si="50"/>
        <v>0</v>
      </c>
      <c r="J162" s="14">
        <f t="shared" si="53"/>
        <v>0</v>
      </c>
      <c r="K162" s="46"/>
      <c r="L162" s="14">
        <f t="shared" si="54"/>
        <v>0</v>
      </c>
      <c r="M162" s="46"/>
      <c r="N162" s="39"/>
    </row>
    <row r="163" spans="1:14" x14ac:dyDescent="0.15">
      <c r="A163" s="23">
        <v>0</v>
      </c>
      <c r="B163" s="23">
        <v>0</v>
      </c>
      <c r="C163" s="24">
        <v>0</v>
      </c>
      <c r="D163" s="25">
        <f t="shared" si="51"/>
        <v>0</v>
      </c>
      <c r="E163" s="49">
        <f t="shared" si="52"/>
        <v>0</v>
      </c>
      <c r="F163" s="49"/>
      <c r="G163" s="10">
        <v>1.2999999999999999E-2</v>
      </c>
      <c r="I163" s="26">
        <f t="shared" si="50"/>
        <v>0</v>
      </c>
      <c r="J163" s="14">
        <f t="shared" si="53"/>
        <v>0</v>
      </c>
      <c r="K163" s="47"/>
      <c r="L163" s="14">
        <f t="shared" si="54"/>
        <v>0</v>
      </c>
      <c r="M163" s="47"/>
      <c r="N163" s="39"/>
    </row>
    <row r="164" spans="1:14" x14ac:dyDescent="0.15">
      <c r="A164" s="28"/>
      <c r="B164" s="28"/>
      <c r="C164" s="29"/>
      <c r="D164" s="30"/>
      <c r="E164" s="30"/>
      <c r="F164" s="30"/>
      <c r="G164" s="31"/>
      <c r="I164" s="32"/>
      <c r="J164" s="33"/>
      <c r="K164" s="33"/>
      <c r="L164" s="33"/>
      <c r="M164" s="33"/>
      <c r="N164" s="34"/>
    </row>
    <row r="166" spans="1:14" x14ac:dyDescent="0.15">
      <c r="A166" s="11" t="s">
        <v>28</v>
      </c>
      <c r="B166" s="5" t="s">
        <v>15</v>
      </c>
      <c r="C166" s="11"/>
      <c r="D166" s="12" t="s">
        <v>22</v>
      </c>
      <c r="E166" s="52" t="str">
        <f>$N$5</f>
        <v>psi</v>
      </c>
      <c r="F166" s="52"/>
      <c r="G166" s="4"/>
      <c r="I166" s="18" t="s">
        <v>28</v>
      </c>
      <c r="J166" s="13" t="str">
        <f>B166</f>
        <v>CH12</v>
      </c>
      <c r="K166" s="6"/>
      <c r="L166" s="12"/>
      <c r="M166" s="5"/>
      <c r="N166" s="13"/>
    </row>
    <row r="167" spans="1:14" ht="15" customHeight="1" x14ac:dyDescent="0.15">
      <c r="A167" s="54" t="s">
        <v>30</v>
      </c>
      <c r="B167" s="54" t="s">
        <v>30</v>
      </c>
      <c r="C167" s="56"/>
      <c r="D167" s="57" t="s">
        <v>33</v>
      </c>
      <c r="E167" s="59" t="s">
        <v>34</v>
      </c>
      <c r="F167" s="60"/>
      <c r="G167" s="50" t="s">
        <v>3</v>
      </c>
      <c r="I167" s="36" t="s">
        <v>30</v>
      </c>
      <c r="J167" s="43" t="s">
        <v>44</v>
      </c>
      <c r="K167" s="42" t="s">
        <v>23</v>
      </c>
      <c r="L167" s="41" t="s">
        <v>45</v>
      </c>
      <c r="M167" s="39" t="s">
        <v>23</v>
      </c>
      <c r="N167" s="40" t="s">
        <v>43</v>
      </c>
    </row>
    <row r="168" spans="1:14" x14ac:dyDescent="0.15">
      <c r="A168" s="55"/>
      <c r="B168" s="8" t="s">
        <v>31</v>
      </c>
      <c r="C168" s="9" t="s">
        <v>32</v>
      </c>
      <c r="D168" s="58"/>
      <c r="E168" s="61"/>
      <c r="F168" s="62"/>
      <c r="G168" s="51"/>
      <c r="I168" s="35" t="str">
        <f>"（"&amp;$N$5&amp;"）"</f>
        <v>（psi）</v>
      </c>
      <c r="J168" s="44"/>
      <c r="K168" s="42"/>
      <c r="L168" s="41"/>
      <c r="M168" s="39"/>
      <c r="N168" s="39"/>
    </row>
    <row r="169" spans="1:14" x14ac:dyDescent="0.15">
      <c r="A169" s="23">
        <v>0</v>
      </c>
      <c r="B169" s="23">
        <v>0</v>
      </c>
      <c r="C169" s="24">
        <v>0</v>
      </c>
      <c r="D169" s="25">
        <f>IF(ABS(B169-A169)&gt;ABS(C169-A169),B169-A169,C169-A169)</f>
        <v>0</v>
      </c>
      <c r="E169" s="49">
        <f>ABS(B169-C169)</f>
        <v>0</v>
      </c>
      <c r="F169" s="49"/>
      <c r="G169" s="10">
        <v>1.2999999999999999E-2</v>
      </c>
      <c r="I169" s="26">
        <f t="shared" ref="I169:I177" si="55">A169</f>
        <v>0</v>
      </c>
      <c r="J169" s="14">
        <f>ABS(D169)/($N$6-$L$6)</f>
        <v>0</v>
      </c>
      <c r="K169" s="45">
        <f>MAX(J169:J177)</f>
        <v>0</v>
      </c>
      <c r="L169" s="14">
        <f>ABS(E169)/($N$6-$L$6)</f>
        <v>0</v>
      </c>
      <c r="M169" s="45">
        <f>MAX(L169:L177)</f>
        <v>0</v>
      </c>
      <c r="N169" s="39"/>
    </row>
    <row r="170" spans="1:14" x14ac:dyDescent="0.15">
      <c r="A170" s="23">
        <v>0</v>
      </c>
      <c r="B170" s="23">
        <v>0</v>
      </c>
      <c r="C170" s="24">
        <v>0</v>
      </c>
      <c r="D170" s="25">
        <f t="shared" ref="D170:D177" si="56">IF(ABS(B170-A170)&gt;ABS(C170-A170),B170-A170,C170-A170)</f>
        <v>0</v>
      </c>
      <c r="E170" s="49">
        <f t="shared" ref="E170:E177" si="57">ABS(B170-C170)</f>
        <v>0</v>
      </c>
      <c r="F170" s="49"/>
      <c r="G170" s="10">
        <v>1.2999999999999999E-2</v>
      </c>
      <c r="I170" s="26">
        <f t="shared" si="55"/>
        <v>0</v>
      </c>
      <c r="J170" s="14">
        <f t="shared" ref="J170:J177" si="58">ABS(D170)/($N$6-$L$6)</f>
        <v>0</v>
      </c>
      <c r="K170" s="46"/>
      <c r="L170" s="14">
        <f t="shared" ref="L170:L177" si="59">ABS(E170)/($N$6-$L$6)</f>
        <v>0</v>
      </c>
      <c r="M170" s="46"/>
      <c r="N170" s="39"/>
    </row>
    <row r="171" spans="1:14" x14ac:dyDescent="0.15">
      <c r="A171" s="23">
        <v>0</v>
      </c>
      <c r="B171" s="23">
        <v>0</v>
      </c>
      <c r="C171" s="24">
        <v>0</v>
      </c>
      <c r="D171" s="25">
        <f t="shared" si="56"/>
        <v>0</v>
      </c>
      <c r="E171" s="49">
        <f t="shared" si="57"/>
        <v>0</v>
      </c>
      <c r="F171" s="49"/>
      <c r="G171" s="10">
        <v>1.2999999999999999E-2</v>
      </c>
      <c r="I171" s="26">
        <f t="shared" si="55"/>
        <v>0</v>
      </c>
      <c r="J171" s="14">
        <f t="shared" si="58"/>
        <v>0</v>
      </c>
      <c r="K171" s="46"/>
      <c r="L171" s="14">
        <f t="shared" si="59"/>
        <v>0</v>
      </c>
      <c r="M171" s="46"/>
      <c r="N171" s="39"/>
    </row>
    <row r="172" spans="1:14" x14ac:dyDescent="0.15">
      <c r="A172" s="23">
        <v>0</v>
      </c>
      <c r="B172" s="23">
        <v>0</v>
      </c>
      <c r="C172" s="24">
        <v>0</v>
      </c>
      <c r="D172" s="25">
        <f t="shared" si="56"/>
        <v>0</v>
      </c>
      <c r="E172" s="49">
        <f t="shared" si="57"/>
        <v>0</v>
      </c>
      <c r="F172" s="49"/>
      <c r="G172" s="10">
        <v>1.2999999999999999E-2</v>
      </c>
      <c r="I172" s="26">
        <f t="shared" si="55"/>
        <v>0</v>
      </c>
      <c r="J172" s="14">
        <f t="shared" si="58"/>
        <v>0</v>
      </c>
      <c r="K172" s="46"/>
      <c r="L172" s="14">
        <f t="shared" si="59"/>
        <v>0</v>
      </c>
      <c r="M172" s="46"/>
      <c r="N172" s="39"/>
    </row>
    <row r="173" spans="1:14" x14ac:dyDescent="0.15">
      <c r="A173" s="23">
        <v>0</v>
      </c>
      <c r="B173" s="23">
        <v>0</v>
      </c>
      <c r="C173" s="24">
        <v>0</v>
      </c>
      <c r="D173" s="25">
        <f t="shared" si="56"/>
        <v>0</v>
      </c>
      <c r="E173" s="49">
        <f t="shared" si="57"/>
        <v>0</v>
      </c>
      <c r="F173" s="49"/>
      <c r="G173" s="10">
        <v>1.2999999999999999E-2</v>
      </c>
      <c r="I173" s="26">
        <f t="shared" si="55"/>
        <v>0</v>
      </c>
      <c r="J173" s="14">
        <f t="shared" si="58"/>
        <v>0</v>
      </c>
      <c r="K173" s="46"/>
      <c r="L173" s="14">
        <f t="shared" si="59"/>
        <v>0</v>
      </c>
      <c r="M173" s="46"/>
      <c r="N173" s="39"/>
    </row>
    <row r="174" spans="1:14" x14ac:dyDescent="0.15">
      <c r="A174" s="23">
        <v>0</v>
      </c>
      <c r="B174" s="23">
        <v>0</v>
      </c>
      <c r="C174" s="24">
        <v>0</v>
      </c>
      <c r="D174" s="25">
        <f t="shared" si="56"/>
        <v>0</v>
      </c>
      <c r="E174" s="49">
        <f t="shared" si="57"/>
        <v>0</v>
      </c>
      <c r="F174" s="49"/>
      <c r="G174" s="10">
        <v>1.2999999999999999E-2</v>
      </c>
      <c r="I174" s="26">
        <f t="shared" si="55"/>
        <v>0</v>
      </c>
      <c r="J174" s="14">
        <f t="shared" si="58"/>
        <v>0</v>
      </c>
      <c r="K174" s="46"/>
      <c r="L174" s="14">
        <f t="shared" si="59"/>
        <v>0</v>
      </c>
      <c r="M174" s="46"/>
      <c r="N174" s="39"/>
    </row>
    <row r="175" spans="1:14" x14ac:dyDescent="0.15">
      <c r="A175" s="23">
        <v>0</v>
      </c>
      <c r="B175" s="23">
        <v>0</v>
      </c>
      <c r="C175" s="24">
        <v>0</v>
      </c>
      <c r="D175" s="25">
        <f t="shared" si="56"/>
        <v>0</v>
      </c>
      <c r="E175" s="49">
        <f t="shared" si="57"/>
        <v>0</v>
      </c>
      <c r="F175" s="49"/>
      <c r="G175" s="10">
        <v>1.2999999999999999E-2</v>
      </c>
      <c r="I175" s="26">
        <f t="shared" si="55"/>
        <v>0</v>
      </c>
      <c r="J175" s="14">
        <f t="shared" si="58"/>
        <v>0</v>
      </c>
      <c r="K175" s="46"/>
      <c r="L175" s="14">
        <f t="shared" si="59"/>
        <v>0</v>
      </c>
      <c r="M175" s="46"/>
      <c r="N175" s="39"/>
    </row>
    <row r="176" spans="1:14" x14ac:dyDescent="0.15">
      <c r="A176" s="23">
        <v>0</v>
      </c>
      <c r="B176" s="23">
        <v>0</v>
      </c>
      <c r="C176" s="24">
        <v>0</v>
      </c>
      <c r="D176" s="25">
        <f t="shared" si="56"/>
        <v>0</v>
      </c>
      <c r="E176" s="49">
        <f t="shared" si="57"/>
        <v>0</v>
      </c>
      <c r="F176" s="49"/>
      <c r="G176" s="10">
        <v>1.2999999999999999E-2</v>
      </c>
      <c r="I176" s="26">
        <f t="shared" si="55"/>
        <v>0</v>
      </c>
      <c r="J176" s="14">
        <f t="shared" si="58"/>
        <v>0</v>
      </c>
      <c r="K176" s="46"/>
      <c r="L176" s="14">
        <f t="shared" si="59"/>
        <v>0</v>
      </c>
      <c r="M176" s="46"/>
      <c r="N176" s="39"/>
    </row>
    <row r="177" spans="1:14" x14ac:dyDescent="0.15">
      <c r="A177" s="23">
        <v>0</v>
      </c>
      <c r="B177" s="23">
        <v>0</v>
      </c>
      <c r="C177" s="24">
        <v>0</v>
      </c>
      <c r="D177" s="25">
        <f t="shared" si="56"/>
        <v>0</v>
      </c>
      <c r="E177" s="49">
        <f t="shared" si="57"/>
        <v>0</v>
      </c>
      <c r="F177" s="49"/>
      <c r="G177" s="10">
        <v>1.2999999999999999E-2</v>
      </c>
      <c r="I177" s="26">
        <f t="shared" si="55"/>
        <v>0</v>
      </c>
      <c r="J177" s="14">
        <f t="shared" si="58"/>
        <v>0</v>
      </c>
      <c r="K177" s="47"/>
      <c r="L177" s="14">
        <f t="shared" si="59"/>
        <v>0</v>
      </c>
      <c r="M177" s="47"/>
      <c r="N177" s="39"/>
    </row>
    <row r="178" spans="1:14" x14ac:dyDescent="0.15">
      <c r="I178" s="32"/>
      <c r="J178" s="33"/>
      <c r="K178" s="33"/>
      <c r="L178" s="33"/>
      <c r="M178" s="33"/>
      <c r="N178" s="34"/>
    </row>
    <row r="182" spans="1:14" x14ac:dyDescent="0.15">
      <c r="A182" s="11" t="s">
        <v>28</v>
      </c>
      <c r="B182" s="5" t="s">
        <v>16</v>
      </c>
      <c r="C182" s="11"/>
      <c r="D182" s="12" t="s">
        <v>22</v>
      </c>
      <c r="E182" s="52" t="str">
        <f>$N$5</f>
        <v>psi</v>
      </c>
      <c r="F182" s="52"/>
      <c r="G182" s="4"/>
      <c r="I182" s="18" t="s">
        <v>28</v>
      </c>
      <c r="J182" s="13" t="str">
        <f>B182</f>
        <v>CH13</v>
      </c>
      <c r="K182" s="6"/>
      <c r="L182" s="12"/>
      <c r="M182" s="5"/>
      <c r="N182" s="13"/>
    </row>
    <row r="183" spans="1:14" ht="15" customHeight="1" x14ac:dyDescent="0.15">
      <c r="A183" s="54" t="s">
        <v>30</v>
      </c>
      <c r="B183" s="54" t="s">
        <v>30</v>
      </c>
      <c r="C183" s="56"/>
      <c r="D183" s="57" t="s">
        <v>33</v>
      </c>
      <c r="E183" s="59" t="s">
        <v>34</v>
      </c>
      <c r="F183" s="60"/>
      <c r="G183" s="50" t="s">
        <v>3</v>
      </c>
      <c r="I183" s="36" t="s">
        <v>30</v>
      </c>
      <c r="J183" s="43" t="s">
        <v>44</v>
      </c>
      <c r="K183" s="42" t="s">
        <v>23</v>
      </c>
      <c r="L183" s="41" t="s">
        <v>45</v>
      </c>
      <c r="M183" s="39" t="s">
        <v>23</v>
      </c>
      <c r="N183" s="40" t="s">
        <v>43</v>
      </c>
    </row>
    <row r="184" spans="1:14" x14ac:dyDescent="0.15">
      <c r="A184" s="55"/>
      <c r="B184" s="8" t="s">
        <v>31</v>
      </c>
      <c r="C184" s="9" t="s">
        <v>32</v>
      </c>
      <c r="D184" s="58"/>
      <c r="E184" s="61"/>
      <c r="F184" s="62"/>
      <c r="G184" s="51"/>
      <c r="I184" s="35" t="str">
        <f>"（"&amp;$N$5&amp;"）"</f>
        <v>（psi）</v>
      </c>
      <c r="J184" s="44"/>
      <c r="K184" s="42"/>
      <c r="L184" s="41"/>
      <c r="M184" s="39"/>
      <c r="N184" s="39"/>
    </row>
    <row r="185" spans="1:14" x14ac:dyDescent="0.15">
      <c r="A185" s="23">
        <v>0</v>
      </c>
      <c r="B185" s="23">
        <v>0</v>
      </c>
      <c r="C185" s="24">
        <v>0</v>
      </c>
      <c r="D185" s="25">
        <f>IF(ABS(B185-A185)&gt;ABS(C185-A185),B185-A185,C185-A185)</f>
        <v>0</v>
      </c>
      <c r="E185" s="49">
        <f>ABS(B185-C185)</f>
        <v>0</v>
      </c>
      <c r="F185" s="49"/>
      <c r="G185" s="10">
        <v>1.2999999999999999E-2</v>
      </c>
      <c r="I185" s="26">
        <f t="shared" ref="I185:I193" si="60">A185</f>
        <v>0</v>
      </c>
      <c r="J185" s="14">
        <f>ABS(D185)/($N$6-$L$6)</f>
        <v>0</v>
      </c>
      <c r="K185" s="45">
        <f>MAX(J185:J193)</f>
        <v>0</v>
      </c>
      <c r="L185" s="14">
        <f>ABS(E185)/($N$6-$L$6)</f>
        <v>0</v>
      </c>
      <c r="M185" s="45">
        <f>MAX(L185:L193)</f>
        <v>0</v>
      </c>
      <c r="N185" s="39"/>
    </row>
    <row r="186" spans="1:14" x14ac:dyDescent="0.15">
      <c r="A186" s="23">
        <v>0</v>
      </c>
      <c r="B186" s="23">
        <v>0</v>
      </c>
      <c r="C186" s="24">
        <v>0</v>
      </c>
      <c r="D186" s="25">
        <f t="shared" ref="D186:D193" si="61">IF(ABS(B186-A186)&gt;ABS(C186-A186),B186-A186,C186-A186)</f>
        <v>0</v>
      </c>
      <c r="E186" s="49">
        <f t="shared" ref="E186:E193" si="62">ABS(B186-C186)</f>
        <v>0</v>
      </c>
      <c r="F186" s="49"/>
      <c r="G186" s="10">
        <v>1.2999999999999999E-2</v>
      </c>
      <c r="I186" s="26">
        <f t="shared" si="60"/>
        <v>0</v>
      </c>
      <c r="J186" s="14">
        <f t="shared" ref="J186:J193" si="63">ABS(D186)/($N$6-$L$6)</f>
        <v>0</v>
      </c>
      <c r="K186" s="46"/>
      <c r="L186" s="14">
        <f t="shared" ref="L186:L193" si="64">ABS(E186)/($N$6-$L$6)</f>
        <v>0</v>
      </c>
      <c r="M186" s="46"/>
      <c r="N186" s="39"/>
    </row>
    <row r="187" spans="1:14" x14ac:dyDescent="0.15">
      <c r="A187" s="23">
        <v>0</v>
      </c>
      <c r="B187" s="23">
        <v>0</v>
      </c>
      <c r="C187" s="24">
        <v>0</v>
      </c>
      <c r="D187" s="25">
        <f t="shared" si="61"/>
        <v>0</v>
      </c>
      <c r="E187" s="49">
        <f t="shared" si="62"/>
        <v>0</v>
      </c>
      <c r="F187" s="49"/>
      <c r="G187" s="10">
        <v>1.2999999999999999E-2</v>
      </c>
      <c r="I187" s="26">
        <f t="shared" si="60"/>
        <v>0</v>
      </c>
      <c r="J187" s="14">
        <f t="shared" si="63"/>
        <v>0</v>
      </c>
      <c r="K187" s="46"/>
      <c r="L187" s="14">
        <f t="shared" si="64"/>
        <v>0</v>
      </c>
      <c r="M187" s="46"/>
      <c r="N187" s="39"/>
    </row>
    <row r="188" spans="1:14" x14ac:dyDescent="0.15">
      <c r="A188" s="23">
        <v>0</v>
      </c>
      <c r="B188" s="23">
        <v>0</v>
      </c>
      <c r="C188" s="24">
        <v>0</v>
      </c>
      <c r="D188" s="25">
        <f t="shared" si="61"/>
        <v>0</v>
      </c>
      <c r="E188" s="49">
        <f t="shared" si="62"/>
        <v>0</v>
      </c>
      <c r="F188" s="49"/>
      <c r="G188" s="10">
        <v>1.2999999999999999E-2</v>
      </c>
      <c r="I188" s="26">
        <f t="shared" si="60"/>
        <v>0</v>
      </c>
      <c r="J188" s="14">
        <f t="shared" si="63"/>
        <v>0</v>
      </c>
      <c r="K188" s="46"/>
      <c r="L188" s="14">
        <f t="shared" si="64"/>
        <v>0</v>
      </c>
      <c r="M188" s="46"/>
      <c r="N188" s="39"/>
    </row>
    <row r="189" spans="1:14" x14ac:dyDescent="0.15">
      <c r="A189" s="23">
        <v>0</v>
      </c>
      <c r="B189" s="23">
        <v>0</v>
      </c>
      <c r="C189" s="24">
        <v>0</v>
      </c>
      <c r="D189" s="25">
        <f t="shared" si="61"/>
        <v>0</v>
      </c>
      <c r="E189" s="49">
        <f t="shared" si="62"/>
        <v>0</v>
      </c>
      <c r="F189" s="49"/>
      <c r="G189" s="10">
        <v>1.2999999999999999E-2</v>
      </c>
      <c r="I189" s="26">
        <f t="shared" si="60"/>
        <v>0</v>
      </c>
      <c r="J189" s="14">
        <f t="shared" si="63"/>
        <v>0</v>
      </c>
      <c r="K189" s="46"/>
      <c r="L189" s="14">
        <f t="shared" si="64"/>
        <v>0</v>
      </c>
      <c r="M189" s="46"/>
      <c r="N189" s="39"/>
    </row>
    <row r="190" spans="1:14" x14ac:dyDescent="0.15">
      <c r="A190" s="23">
        <v>0</v>
      </c>
      <c r="B190" s="23">
        <v>0</v>
      </c>
      <c r="C190" s="24">
        <v>0</v>
      </c>
      <c r="D190" s="25">
        <f t="shared" si="61"/>
        <v>0</v>
      </c>
      <c r="E190" s="49">
        <f t="shared" si="62"/>
        <v>0</v>
      </c>
      <c r="F190" s="49"/>
      <c r="G190" s="10">
        <v>1.2999999999999999E-2</v>
      </c>
      <c r="I190" s="26">
        <f t="shared" si="60"/>
        <v>0</v>
      </c>
      <c r="J190" s="14">
        <f t="shared" si="63"/>
        <v>0</v>
      </c>
      <c r="K190" s="46"/>
      <c r="L190" s="14">
        <f t="shared" si="64"/>
        <v>0</v>
      </c>
      <c r="M190" s="46"/>
      <c r="N190" s="39"/>
    </row>
    <row r="191" spans="1:14" x14ac:dyDescent="0.15">
      <c r="A191" s="23">
        <v>0</v>
      </c>
      <c r="B191" s="23">
        <v>0</v>
      </c>
      <c r="C191" s="24">
        <v>0</v>
      </c>
      <c r="D191" s="25">
        <f t="shared" si="61"/>
        <v>0</v>
      </c>
      <c r="E191" s="49">
        <f t="shared" si="62"/>
        <v>0</v>
      </c>
      <c r="F191" s="49"/>
      <c r="G191" s="10">
        <v>1.2999999999999999E-2</v>
      </c>
      <c r="I191" s="26">
        <f t="shared" si="60"/>
        <v>0</v>
      </c>
      <c r="J191" s="14">
        <f t="shared" si="63"/>
        <v>0</v>
      </c>
      <c r="K191" s="46"/>
      <c r="L191" s="14">
        <f t="shared" si="64"/>
        <v>0</v>
      </c>
      <c r="M191" s="46"/>
      <c r="N191" s="39"/>
    </row>
    <row r="192" spans="1:14" x14ac:dyDescent="0.15">
      <c r="A192" s="23">
        <v>0</v>
      </c>
      <c r="B192" s="23">
        <v>0</v>
      </c>
      <c r="C192" s="24">
        <v>0</v>
      </c>
      <c r="D192" s="25">
        <f t="shared" si="61"/>
        <v>0</v>
      </c>
      <c r="E192" s="49">
        <f t="shared" si="62"/>
        <v>0</v>
      </c>
      <c r="F192" s="49"/>
      <c r="G192" s="10">
        <v>1.2999999999999999E-2</v>
      </c>
      <c r="I192" s="26">
        <f t="shared" si="60"/>
        <v>0</v>
      </c>
      <c r="J192" s="14">
        <f t="shared" si="63"/>
        <v>0</v>
      </c>
      <c r="K192" s="46"/>
      <c r="L192" s="14">
        <f t="shared" si="64"/>
        <v>0</v>
      </c>
      <c r="M192" s="46"/>
      <c r="N192" s="39"/>
    </row>
    <row r="193" spans="1:14" x14ac:dyDescent="0.15">
      <c r="A193" s="23">
        <v>0</v>
      </c>
      <c r="B193" s="23">
        <v>0</v>
      </c>
      <c r="C193" s="24">
        <v>0</v>
      </c>
      <c r="D193" s="25">
        <f t="shared" si="61"/>
        <v>0</v>
      </c>
      <c r="E193" s="49">
        <f t="shared" si="62"/>
        <v>0</v>
      </c>
      <c r="F193" s="49"/>
      <c r="G193" s="10">
        <v>1.2999999999999999E-2</v>
      </c>
      <c r="I193" s="26">
        <f t="shared" si="60"/>
        <v>0</v>
      </c>
      <c r="J193" s="14">
        <f t="shared" si="63"/>
        <v>0</v>
      </c>
      <c r="K193" s="47"/>
      <c r="L193" s="14">
        <f t="shared" si="64"/>
        <v>0</v>
      </c>
      <c r="M193" s="47"/>
      <c r="N193" s="39"/>
    </row>
    <row r="194" spans="1:14" x14ac:dyDescent="0.15">
      <c r="A194" s="28"/>
      <c r="B194" s="28"/>
      <c r="C194" s="29"/>
      <c r="D194" s="30"/>
      <c r="E194" s="30"/>
      <c r="F194" s="30"/>
      <c r="G194" s="31"/>
      <c r="I194" s="32"/>
      <c r="J194" s="33"/>
      <c r="K194" s="33"/>
      <c r="L194" s="33"/>
      <c r="M194" s="33"/>
      <c r="N194" s="34"/>
    </row>
    <row r="196" spans="1:14" x14ac:dyDescent="0.15">
      <c r="A196" s="11" t="s">
        <v>28</v>
      </c>
      <c r="B196" s="5" t="s">
        <v>17</v>
      </c>
      <c r="C196" s="11"/>
      <c r="D196" s="12" t="s">
        <v>22</v>
      </c>
      <c r="E196" s="52" t="str">
        <f>$N$5</f>
        <v>psi</v>
      </c>
      <c r="F196" s="52"/>
      <c r="G196" s="4"/>
      <c r="I196" s="18" t="s">
        <v>28</v>
      </c>
      <c r="J196" s="13" t="str">
        <f>B196</f>
        <v>CH14</v>
      </c>
      <c r="K196" s="6"/>
      <c r="L196" s="12"/>
      <c r="M196" s="5"/>
      <c r="N196" s="13"/>
    </row>
    <row r="197" spans="1:14" ht="15" customHeight="1" x14ac:dyDescent="0.15">
      <c r="A197" s="54" t="s">
        <v>30</v>
      </c>
      <c r="B197" s="54" t="s">
        <v>30</v>
      </c>
      <c r="C197" s="56"/>
      <c r="D197" s="57" t="s">
        <v>33</v>
      </c>
      <c r="E197" s="59" t="s">
        <v>34</v>
      </c>
      <c r="F197" s="60"/>
      <c r="G197" s="50" t="s">
        <v>3</v>
      </c>
      <c r="I197" s="36" t="s">
        <v>30</v>
      </c>
      <c r="J197" s="43" t="s">
        <v>44</v>
      </c>
      <c r="K197" s="42" t="s">
        <v>23</v>
      </c>
      <c r="L197" s="41" t="s">
        <v>45</v>
      </c>
      <c r="M197" s="39" t="s">
        <v>23</v>
      </c>
      <c r="N197" s="40" t="s">
        <v>43</v>
      </c>
    </row>
    <row r="198" spans="1:14" x14ac:dyDescent="0.15">
      <c r="A198" s="55"/>
      <c r="B198" s="8" t="s">
        <v>31</v>
      </c>
      <c r="C198" s="9" t="s">
        <v>32</v>
      </c>
      <c r="D198" s="58"/>
      <c r="E198" s="61"/>
      <c r="F198" s="62"/>
      <c r="G198" s="51"/>
      <c r="I198" s="35" t="str">
        <f>"（"&amp;$N$5&amp;"）"</f>
        <v>（psi）</v>
      </c>
      <c r="J198" s="44"/>
      <c r="K198" s="42"/>
      <c r="L198" s="41"/>
      <c r="M198" s="39"/>
      <c r="N198" s="39"/>
    </row>
    <row r="199" spans="1:14" x14ac:dyDescent="0.15">
      <c r="A199" s="23">
        <v>0</v>
      </c>
      <c r="B199" s="23">
        <v>0</v>
      </c>
      <c r="C199" s="24">
        <v>0</v>
      </c>
      <c r="D199" s="25">
        <f>IF(ABS(B199-A199)&gt;ABS(C199-A199),B199-A199,C199-A199)</f>
        <v>0</v>
      </c>
      <c r="E199" s="49">
        <f>ABS(B199-C199)</f>
        <v>0</v>
      </c>
      <c r="F199" s="49"/>
      <c r="G199" s="10">
        <v>1.2999999999999999E-2</v>
      </c>
      <c r="I199" s="26">
        <f t="shared" ref="I199:I207" si="65">A199</f>
        <v>0</v>
      </c>
      <c r="J199" s="14">
        <f>ABS(D199)/($N$6-$L$6)</f>
        <v>0</v>
      </c>
      <c r="K199" s="45">
        <f>MAX(J199:J207)</f>
        <v>0</v>
      </c>
      <c r="L199" s="14">
        <f>ABS(E199)/($N$6-$L$6)</f>
        <v>0</v>
      </c>
      <c r="M199" s="45">
        <f>MAX(L199:L207)</f>
        <v>0</v>
      </c>
      <c r="N199" s="39"/>
    </row>
    <row r="200" spans="1:14" x14ac:dyDescent="0.15">
      <c r="A200" s="23">
        <v>0</v>
      </c>
      <c r="B200" s="23">
        <v>0</v>
      </c>
      <c r="C200" s="24">
        <v>0</v>
      </c>
      <c r="D200" s="25">
        <f t="shared" ref="D200:D207" si="66">IF(ABS(B200-A200)&gt;ABS(C200-A200),B200-A200,C200-A200)</f>
        <v>0</v>
      </c>
      <c r="E200" s="49">
        <f t="shared" ref="E200:E207" si="67">ABS(B200-C200)</f>
        <v>0</v>
      </c>
      <c r="F200" s="49"/>
      <c r="G200" s="10">
        <v>1.2999999999999999E-2</v>
      </c>
      <c r="I200" s="26">
        <f t="shared" si="65"/>
        <v>0</v>
      </c>
      <c r="J200" s="14">
        <f t="shared" ref="J200:J207" si="68">ABS(D200)/($N$6-$L$6)</f>
        <v>0</v>
      </c>
      <c r="K200" s="46"/>
      <c r="L200" s="14">
        <f t="shared" ref="L200:L207" si="69">ABS(E200)/($N$6-$L$6)</f>
        <v>0</v>
      </c>
      <c r="M200" s="46"/>
      <c r="N200" s="39"/>
    </row>
    <row r="201" spans="1:14" x14ac:dyDescent="0.15">
      <c r="A201" s="23">
        <v>0</v>
      </c>
      <c r="B201" s="23">
        <v>0</v>
      </c>
      <c r="C201" s="24">
        <v>0</v>
      </c>
      <c r="D201" s="25">
        <f t="shared" si="66"/>
        <v>0</v>
      </c>
      <c r="E201" s="49">
        <f t="shared" si="67"/>
        <v>0</v>
      </c>
      <c r="F201" s="49"/>
      <c r="G201" s="10">
        <v>1.2999999999999999E-2</v>
      </c>
      <c r="I201" s="26">
        <f t="shared" si="65"/>
        <v>0</v>
      </c>
      <c r="J201" s="14">
        <f t="shared" si="68"/>
        <v>0</v>
      </c>
      <c r="K201" s="46"/>
      <c r="L201" s="14">
        <f t="shared" si="69"/>
        <v>0</v>
      </c>
      <c r="M201" s="46"/>
      <c r="N201" s="39"/>
    </row>
    <row r="202" spans="1:14" x14ac:dyDescent="0.15">
      <c r="A202" s="23">
        <v>0</v>
      </c>
      <c r="B202" s="23">
        <v>0</v>
      </c>
      <c r="C202" s="24">
        <v>0</v>
      </c>
      <c r="D202" s="25">
        <f t="shared" si="66"/>
        <v>0</v>
      </c>
      <c r="E202" s="49">
        <f t="shared" si="67"/>
        <v>0</v>
      </c>
      <c r="F202" s="49"/>
      <c r="G202" s="10">
        <v>1.2999999999999999E-2</v>
      </c>
      <c r="I202" s="26">
        <f t="shared" si="65"/>
        <v>0</v>
      </c>
      <c r="J202" s="14">
        <f t="shared" si="68"/>
        <v>0</v>
      </c>
      <c r="K202" s="46"/>
      <c r="L202" s="14">
        <f t="shared" si="69"/>
        <v>0</v>
      </c>
      <c r="M202" s="46"/>
      <c r="N202" s="39"/>
    </row>
    <row r="203" spans="1:14" x14ac:dyDescent="0.15">
      <c r="A203" s="23">
        <v>0</v>
      </c>
      <c r="B203" s="23">
        <v>0</v>
      </c>
      <c r="C203" s="24">
        <v>0</v>
      </c>
      <c r="D203" s="25">
        <f t="shared" si="66"/>
        <v>0</v>
      </c>
      <c r="E203" s="49">
        <f t="shared" si="67"/>
        <v>0</v>
      </c>
      <c r="F203" s="49"/>
      <c r="G203" s="10">
        <v>1.2999999999999999E-2</v>
      </c>
      <c r="I203" s="26">
        <f t="shared" si="65"/>
        <v>0</v>
      </c>
      <c r="J203" s="14">
        <f t="shared" si="68"/>
        <v>0</v>
      </c>
      <c r="K203" s="46"/>
      <c r="L203" s="14">
        <f t="shared" si="69"/>
        <v>0</v>
      </c>
      <c r="M203" s="46"/>
      <c r="N203" s="39"/>
    </row>
    <row r="204" spans="1:14" x14ac:dyDescent="0.15">
      <c r="A204" s="23">
        <v>0</v>
      </c>
      <c r="B204" s="23">
        <v>0</v>
      </c>
      <c r="C204" s="24">
        <v>0</v>
      </c>
      <c r="D204" s="25">
        <f t="shared" si="66"/>
        <v>0</v>
      </c>
      <c r="E204" s="49">
        <f t="shared" si="67"/>
        <v>0</v>
      </c>
      <c r="F204" s="49"/>
      <c r="G204" s="10">
        <v>1.2999999999999999E-2</v>
      </c>
      <c r="I204" s="26">
        <f t="shared" si="65"/>
        <v>0</v>
      </c>
      <c r="J204" s="14">
        <f t="shared" si="68"/>
        <v>0</v>
      </c>
      <c r="K204" s="46"/>
      <c r="L204" s="14">
        <f t="shared" si="69"/>
        <v>0</v>
      </c>
      <c r="M204" s="46"/>
      <c r="N204" s="39"/>
    </row>
    <row r="205" spans="1:14" x14ac:dyDescent="0.15">
      <c r="A205" s="23">
        <v>0</v>
      </c>
      <c r="B205" s="23">
        <v>0</v>
      </c>
      <c r="C205" s="24">
        <v>0</v>
      </c>
      <c r="D205" s="25">
        <f t="shared" si="66"/>
        <v>0</v>
      </c>
      <c r="E205" s="49">
        <f t="shared" si="67"/>
        <v>0</v>
      </c>
      <c r="F205" s="49"/>
      <c r="G205" s="10">
        <v>1.2999999999999999E-2</v>
      </c>
      <c r="I205" s="26">
        <f t="shared" si="65"/>
        <v>0</v>
      </c>
      <c r="J205" s="14">
        <f t="shared" si="68"/>
        <v>0</v>
      </c>
      <c r="K205" s="46"/>
      <c r="L205" s="14">
        <f t="shared" si="69"/>
        <v>0</v>
      </c>
      <c r="M205" s="46"/>
      <c r="N205" s="39"/>
    </row>
    <row r="206" spans="1:14" x14ac:dyDescent="0.15">
      <c r="A206" s="23">
        <v>0</v>
      </c>
      <c r="B206" s="23">
        <v>0</v>
      </c>
      <c r="C206" s="24">
        <v>0</v>
      </c>
      <c r="D206" s="25">
        <f t="shared" si="66"/>
        <v>0</v>
      </c>
      <c r="E206" s="49">
        <f t="shared" si="67"/>
        <v>0</v>
      </c>
      <c r="F206" s="49"/>
      <c r="G206" s="10">
        <v>1.2999999999999999E-2</v>
      </c>
      <c r="I206" s="26">
        <f t="shared" si="65"/>
        <v>0</v>
      </c>
      <c r="J206" s="14">
        <f t="shared" si="68"/>
        <v>0</v>
      </c>
      <c r="K206" s="46"/>
      <c r="L206" s="14">
        <f t="shared" si="69"/>
        <v>0</v>
      </c>
      <c r="M206" s="46"/>
      <c r="N206" s="39"/>
    </row>
    <row r="207" spans="1:14" x14ac:dyDescent="0.15">
      <c r="A207" s="23">
        <v>0</v>
      </c>
      <c r="B207" s="23">
        <v>0</v>
      </c>
      <c r="C207" s="24">
        <v>0</v>
      </c>
      <c r="D207" s="25">
        <f t="shared" si="66"/>
        <v>0</v>
      </c>
      <c r="E207" s="49">
        <f t="shared" si="67"/>
        <v>0</v>
      </c>
      <c r="F207" s="49"/>
      <c r="G207" s="10">
        <v>1.2999999999999999E-2</v>
      </c>
      <c r="I207" s="26">
        <f t="shared" si="65"/>
        <v>0</v>
      </c>
      <c r="J207" s="14">
        <f t="shared" si="68"/>
        <v>0</v>
      </c>
      <c r="K207" s="47"/>
      <c r="L207" s="14">
        <f t="shared" si="69"/>
        <v>0</v>
      </c>
      <c r="M207" s="47"/>
      <c r="N207" s="39"/>
    </row>
    <row r="208" spans="1:14" x14ac:dyDescent="0.15">
      <c r="A208" s="28"/>
      <c r="B208" s="28"/>
      <c r="C208" s="29"/>
      <c r="D208" s="30"/>
      <c r="E208" s="30"/>
      <c r="F208" s="30"/>
      <c r="G208" s="31"/>
      <c r="I208" s="32"/>
      <c r="J208" s="33"/>
      <c r="K208" s="33"/>
      <c r="L208" s="33"/>
      <c r="M208" s="33"/>
      <c r="N208" s="34"/>
    </row>
    <row r="210" spans="1:14" x14ac:dyDescent="0.15">
      <c r="A210" s="11" t="s">
        <v>28</v>
      </c>
      <c r="B210" s="5" t="s">
        <v>18</v>
      </c>
      <c r="C210" s="11"/>
      <c r="D210" s="12" t="s">
        <v>22</v>
      </c>
      <c r="E210" s="52" t="str">
        <f>$N$5</f>
        <v>psi</v>
      </c>
      <c r="F210" s="52"/>
      <c r="G210" s="4"/>
      <c r="I210" s="18" t="s">
        <v>28</v>
      </c>
      <c r="J210" s="13" t="str">
        <f>B210</f>
        <v>CH15</v>
      </c>
      <c r="K210" s="6"/>
      <c r="L210" s="12"/>
      <c r="M210" s="5"/>
      <c r="N210" s="13"/>
    </row>
    <row r="211" spans="1:14" ht="15" customHeight="1" x14ac:dyDescent="0.15">
      <c r="A211" s="54" t="s">
        <v>30</v>
      </c>
      <c r="B211" s="54" t="s">
        <v>30</v>
      </c>
      <c r="C211" s="56"/>
      <c r="D211" s="57" t="s">
        <v>33</v>
      </c>
      <c r="E211" s="59" t="s">
        <v>34</v>
      </c>
      <c r="F211" s="60"/>
      <c r="G211" s="50" t="s">
        <v>3</v>
      </c>
      <c r="I211" s="36" t="s">
        <v>30</v>
      </c>
      <c r="J211" s="43" t="s">
        <v>44</v>
      </c>
      <c r="K211" s="42" t="s">
        <v>23</v>
      </c>
      <c r="L211" s="41" t="s">
        <v>45</v>
      </c>
      <c r="M211" s="39" t="s">
        <v>23</v>
      </c>
      <c r="N211" s="40" t="s">
        <v>43</v>
      </c>
    </row>
    <row r="212" spans="1:14" x14ac:dyDescent="0.15">
      <c r="A212" s="55"/>
      <c r="B212" s="8" t="s">
        <v>31</v>
      </c>
      <c r="C212" s="9" t="s">
        <v>32</v>
      </c>
      <c r="D212" s="58"/>
      <c r="E212" s="61"/>
      <c r="F212" s="62"/>
      <c r="G212" s="51"/>
      <c r="I212" s="35" t="str">
        <f>"（"&amp;$N$5&amp;"）"</f>
        <v>（psi）</v>
      </c>
      <c r="J212" s="44"/>
      <c r="K212" s="42"/>
      <c r="L212" s="41"/>
      <c r="M212" s="39"/>
      <c r="N212" s="39"/>
    </row>
    <row r="213" spans="1:14" x14ac:dyDescent="0.15">
      <c r="A213" s="23">
        <v>0</v>
      </c>
      <c r="B213" s="23">
        <v>0</v>
      </c>
      <c r="C213" s="24">
        <v>0</v>
      </c>
      <c r="D213" s="25">
        <f>IF(ABS(B213-A213)&gt;ABS(C213-A213),B213-A213,C213-A213)</f>
        <v>0</v>
      </c>
      <c r="E213" s="49">
        <f>ABS(B213-C213)</f>
        <v>0</v>
      </c>
      <c r="F213" s="49"/>
      <c r="G213" s="10">
        <v>1.2999999999999999E-2</v>
      </c>
      <c r="I213" s="26">
        <f t="shared" ref="I213:I221" si="70">A213</f>
        <v>0</v>
      </c>
      <c r="J213" s="14">
        <f>ABS(D213)/($N$6-$L$6)</f>
        <v>0</v>
      </c>
      <c r="K213" s="45">
        <f>MAX(J213:J221)</f>
        <v>0</v>
      </c>
      <c r="L213" s="14">
        <f>ABS(E213)/($N$6-$L$6)</f>
        <v>0</v>
      </c>
      <c r="M213" s="45">
        <f>MAX(L213:L221)</f>
        <v>0</v>
      </c>
      <c r="N213" s="39"/>
    </row>
    <row r="214" spans="1:14" x14ac:dyDescent="0.15">
      <c r="A214" s="23">
        <v>0</v>
      </c>
      <c r="B214" s="23">
        <v>0</v>
      </c>
      <c r="C214" s="24">
        <v>0</v>
      </c>
      <c r="D214" s="25">
        <f t="shared" ref="D214:D221" si="71">IF(ABS(B214-A214)&gt;ABS(C214-A214),B214-A214,C214-A214)</f>
        <v>0</v>
      </c>
      <c r="E214" s="49">
        <f t="shared" ref="E214:E221" si="72">ABS(B214-C214)</f>
        <v>0</v>
      </c>
      <c r="F214" s="49"/>
      <c r="G214" s="10">
        <v>1.2999999999999999E-2</v>
      </c>
      <c r="I214" s="26">
        <f t="shared" si="70"/>
        <v>0</v>
      </c>
      <c r="J214" s="14">
        <f t="shared" ref="J214:J221" si="73">ABS(D214)/($N$6-$L$6)</f>
        <v>0</v>
      </c>
      <c r="K214" s="46"/>
      <c r="L214" s="14">
        <f t="shared" ref="L214:L221" si="74">ABS(E214)/($N$6-$L$6)</f>
        <v>0</v>
      </c>
      <c r="M214" s="46"/>
      <c r="N214" s="39"/>
    </row>
    <row r="215" spans="1:14" x14ac:dyDescent="0.15">
      <c r="A215" s="23">
        <v>0</v>
      </c>
      <c r="B215" s="23">
        <v>0</v>
      </c>
      <c r="C215" s="24">
        <v>0</v>
      </c>
      <c r="D215" s="25">
        <f t="shared" si="71"/>
        <v>0</v>
      </c>
      <c r="E215" s="49">
        <f t="shared" si="72"/>
        <v>0</v>
      </c>
      <c r="F215" s="49"/>
      <c r="G215" s="10">
        <v>1.2999999999999999E-2</v>
      </c>
      <c r="I215" s="26">
        <f t="shared" si="70"/>
        <v>0</v>
      </c>
      <c r="J215" s="14">
        <f t="shared" si="73"/>
        <v>0</v>
      </c>
      <c r="K215" s="46"/>
      <c r="L215" s="14">
        <f t="shared" si="74"/>
        <v>0</v>
      </c>
      <c r="M215" s="46"/>
      <c r="N215" s="39"/>
    </row>
    <row r="216" spans="1:14" x14ac:dyDescent="0.15">
      <c r="A216" s="23">
        <v>0</v>
      </c>
      <c r="B216" s="23">
        <v>0</v>
      </c>
      <c r="C216" s="24">
        <v>0</v>
      </c>
      <c r="D216" s="25">
        <f t="shared" si="71"/>
        <v>0</v>
      </c>
      <c r="E216" s="49">
        <f t="shared" si="72"/>
        <v>0</v>
      </c>
      <c r="F216" s="49"/>
      <c r="G216" s="10">
        <v>1.2999999999999999E-2</v>
      </c>
      <c r="I216" s="26">
        <f t="shared" si="70"/>
        <v>0</v>
      </c>
      <c r="J216" s="14">
        <f t="shared" si="73"/>
        <v>0</v>
      </c>
      <c r="K216" s="46"/>
      <c r="L216" s="14">
        <f t="shared" si="74"/>
        <v>0</v>
      </c>
      <c r="M216" s="46"/>
      <c r="N216" s="39"/>
    </row>
    <row r="217" spans="1:14" x14ac:dyDescent="0.15">
      <c r="A217" s="23">
        <v>0</v>
      </c>
      <c r="B217" s="23">
        <v>0</v>
      </c>
      <c r="C217" s="24">
        <v>0</v>
      </c>
      <c r="D217" s="25">
        <f t="shared" si="71"/>
        <v>0</v>
      </c>
      <c r="E217" s="49">
        <f t="shared" si="72"/>
        <v>0</v>
      </c>
      <c r="F217" s="49"/>
      <c r="G217" s="10">
        <v>1.2999999999999999E-2</v>
      </c>
      <c r="I217" s="26">
        <f t="shared" si="70"/>
        <v>0</v>
      </c>
      <c r="J217" s="14">
        <f t="shared" si="73"/>
        <v>0</v>
      </c>
      <c r="K217" s="46"/>
      <c r="L217" s="14">
        <f t="shared" si="74"/>
        <v>0</v>
      </c>
      <c r="M217" s="46"/>
      <c r="N217" s="39"/>
    </row>
    <row r="218" spans="1:14" x14ac:dyDescent="0.15">
      <c r="A218" s="23">
        <v>0</v>
      </c>
      <c r="B218" s="23">
        <v>0</v>
      </c>
      <c r="C218" s="24">
        <v>0</v>
      </c>
      <c r="D218" s="25">
        <f t="shared" si="71"/>
        <v>0</v>
      </c>
      <c r="E218" s="49">
        <f t="shared" si="72"/>
        <v>0</v>
      </c>
      <c r="F218" s="49"/>
      <c r="G218" s="10">
        <v>1.2999999999999999E-2</v>
      </c>
      <c r="I218" s="26">
        <f t="shared" si="70"/>
        <v>0</v>
      </c>
      <c r="J218" s="14">
        <f t="shared" si="73"/>
        <v>0</v>
      </c>
      <c r="K218" s="46"/>
      <c r="L218" s="14">
        <f t="shared" si="74"/>
        <v>0</v>
      </c>
      <c r="M218" s="46"/>
      <c r="N218" s="39"/>
    </row>
    <row r="219" spans="1:14" x14ac:dyDescent="0.15">
      <c r="A219" s="23">
        <v>0</v>
      </c>
      <c r="B219" s="23">
        <v>0</v>
      </c>
      <c r="C219" s="24">
        <v>0</v>
      </c>
      <c r="D219" s="25">
        <f t="shared" si="71"/>
        <v>0</v>
      </c>
      <c r="E219" s="49">
        <f t="shared" si="72"/>
        <v>0</v>
      </c>
      <c r="F219" s="49"/>
      <c r="G219" s="10">
        <v>1.2999999999999999E-2</v>
      </c>
      <c r="I219" s="26">
        <f t="shared" si="70"/>
        <v>0</v>
      </c>
      <c r="J219" s="14">
        <f t="shared" si="73"/>
        <v>0</v>
      </c>
      <c r="K219" s="46"/>
      <c r="L219" s="14">
        <f t="shared" si="74"/>
        <v>0</v>
      </c>
      <c r="M219" s="46"/>
      <c r="N219" s="39"/>
    </row>
    <row r="220" spans="1:14" x14ac:dyDescent="0.15">
      <c r="A220" s="23">
        <v>0</v>
      </c>
      <c r="B220" s="23">
        <v>0</v>
      </c>
      <c r="C220" s="24">
        <v>0</v>
      </c>
      <c r="D220" s="25">
        <f t="shared" si="71"/>
        <v>0</v>
      </c>
      <c r="E220" s="49">
        <f t="shared" si="72"/>
        <v>0</v>
      </c>
      <c r="F220" s="49"/>
      <c r="G220" s="10">
        <v>1.2999999999999999E-2</v>
      </c>
      <c r="I220" s="26">
        <f t="shared" si="70"/>
        <v>0</v>
      </c>
      <c r="J220" s="14">
        <f t="shared" si="73"/>
        <v>0</v>
      </c>
      <c r="K220" s="46"/>
      <c r="L220" s="14">
        <f t="shared" si="74"/>
        <v>0</v>
      </c>
      <c r="M220" s="46"/>
      <c r="N220" s="39"/>
    </row>
    <row r="221" spans="1:14" x14ac:dyDescent="0.15">
      <c r="A221" s="23">
        <v>0</v>
      </c>
      <c r="B221" s="23">
        <v>0</v>
      </c>
      <c r="C221" s="24">
        <v>0</v>
      </c>
      <c r="D221" s="25">
        <f t="shared" si="71"/>
        <v>0</v>
      </c>
      <c r="E221" s="49">
        <f t="shared" si="72"/>
        <v>0</v>
      </c>
      <c r="F221" s="49"/>
      <c r="G221" s="10">
        <v>1.2999999999999999E-2</v>
      </c>
      <c r="I221" s="26">
        <f t="shared" si="70"/>
        <v>0</v>
      </c>
      <c r="J221" s="14">
        <f t="shared" si="73"/>
        <v>0</v>
      </c>
      <c r="K221" s="47"/>
      <c r="L221" s="14">
        <f t="shared" si="74"/>
        <v>0</v>
      </c>
      <c r="M221" s="47"/>
      <c r="N221" s="39"/>
    </row>
    <row r="222" spans="1:14" x14ac:dyDescent="0.15">
      <c r="I222" s="32"/>
      <c r="J222" s="33"/>
      <c r="K222" s="33"/>
      <c r="L222" s="33"/>
      <c r="M222" s="33"/>
      <c r="N222" s="34"/>
    </row>
    <row r="225" spans="1:14" x14ac:dyDescent="0.15">
      <c r="A225" s="11" t="s">
        <v>28</v>
      </c>
      <c r="B225" s="5" t="s">
        <v>19</v>
      </c>
      <c r="C225" s="11"/>
      <c r="D225" s="12" t="s">
        <v>22</v>
      </c>
      <c r="E225" s="52" t="str">
        <f>$N$5</f>
        <v>psi</v>
      </c>
      <c r="F225" s="52"/>
      <c r="G225" s="4"/>
      <c r="I225" s="18" t="s">
        <v>28</v>
      </c>
      <c r="J225" s="13" t="str">
        <f>B225</f>
        <v>CH16</v>
      </c>
      <c r="K225" s="6"/>
      <c r="L225" s="12"/>
      <c r="M225" s="5"/>
      <c r="N225" s="13"/>
    </row>
    <row r="226" spans="1:14" ht="15" customHeight="1" x14ac:dyDescent="0.15">
      <c r="A226" s="54" t="s">
        <v>30</v>
      </c>
      <c r="B226" s="54" t="s">
        <v>30</v>
      </c>
      <c r="C226" s="56"/>
      <c r="D226" s="57" t="s">
        <v>33</v>
      </c>
      <c r="E226" s="59" t="s">
        <v>34</v>
      </c>
      <c r="F226" s="60"/>
      <c r="G226" s="50" t="s">
        <v>3</v>
      </c>
      <c r="I226" s="36" t="s">
        <v>30</v>
      </c>
      <c r="J226" s="43" t="s">
        <v>44</v>
      </c>
      <c r="K226" s="42" t="s">
        <v>23</v>
      </c>
      <c r="L226" s="41" t="s">
        <v>45</v>
      </c>
      <c r="M226" s="39" t="s">
        <v>23</v>
      </c>
      <c r="N226" s="40" t="s">
        <v>43</v>
      </c>
    </row>
    <row r="227" spans="1:14" x14ac:dyDescent="0.15">
      <c r="A227" s="55"/>
      <c r="B227" s="8" t="s">
        <v>31</v>
      </c>
      <c r="C227" s="9" t="s">
        <v>32</v>
      </c>
      <c r="D227" s="58"/>
      <c r="E227" s="61"/>
      <c r="F227" s="62"/>
      <c r="G227" s="51"/>
      <c r="I227" s="35" t="str">
        <f>"（"&amp;$N$5&amp;"）"</f>
        <v>（psi）</v>
      </c>
      <c r="J227" s="44"/>
      <c r="K227" s="42"/>
      <c r="L227" s="41"/>
      <c r="M227" s="39"/>
      <c r="N227" s="39"/>
    </row>
    <row r="228" spans="1:14" x14ac:dyDescent="0.15">
      <c r="A228" s="23">
        <v>0</v>
      </c>
      <c r="B228" s="23">
        <v>0</v>
      </c>
      <c r="C228" s="24">
        <v>0</v>
      </c>
      <c r="D228" s="25">
        <f>IF(ABS(B228-A228)&gt;ABS(C228-A228),B228-A228,C228-A228)</f>
        <v>0</v>
      </c>
      <c r="E228" s="49">
        <f>ABS(B228-C228)</f>
        <v>0</v>
      </c>
      <c r="F228" s="49"/>
      <c r="G228" s="10">
        <v>1.2999999999999999E-2</v>
      </c>
      <c r="I228" s="26">
        <f t="shared" ref="I228:I236" si="75">A228</f>
        <v>0</v>
      </c>
      <c r="J228" s="14">
        <f>ABS(D228)/($N$6-$L$6)</f>
        <v>0</v>
      </c>
      <c r="K228" s="45">
        <f>MAX(J228:J236)</f>
        <v>0</v>
      </c>
      <c r="L228" s="14">
        <f>ABS(E228)/($N$6-$L$6)</f>
        <v>0</v>
      </c>
      <c r="M228" s="45">
        <f>MAX(L228:L236)</f>
        <v>0</v>
      </c>
      <c r="N228" s="39"/>
    </row>
    <row r="229" spans="1:14" x14ac:dyDescent="0.15">
      <c r="A229" s="23">
        <v>0</v>
      </c>
      <c r="B229" s="23">
        <v>0</v>
      </c>
      <c r="C229" s="24">
        <v>0</v>
      </c>
      <c r="D229" s="25">
        <f t="shared" ref="D229:D236" si="76">IF(ABS(B229-A229)&gt;ABS(C229-A229),B229-A229,C229-A229)</f>
        <v>0</v>
      </c>
      <c r="E229" s="49">
        <f t="shared" ref="E229:E236" si="77">ABS(B229-C229)</f>
        <v>0</v>
      </c>
      <c r="F229" s="49"/>
      <c r="G229" s="10">
        <v>1.2999999999999999E-2</v>
      </c>
      <c r="I229" s="26">
        <f t="shared" si="75"/>
        <v>0</v>
      </c>
      <c r="J229" s="14">
        <f t="shared" ref="J229:J236" si="78">ABS(D229)/($N$6-$L$6)</f>
        <v>0</v>
      </c>
      <c r="K229" s="46"/>
      <c r="L229" s="14">
        <f t="shared" ref="L229:L236" si="79">ABS(E229)/($N$6-$L$6)</f>
        <v>0</v>
      </c>
      <c r="M229" s="46"/>
      <c r="N229" s="39"/>
    </row>
    <row r="230" spans="1:14" x14ac:dyDescent="0.15">
      <c r="A230" s="23">
        <v>0</v>
      </c>
      <c r="B230" s="23">
        <v>0</v>
      </c>
      <c r="C230" s="24">
        <v>0</v>
      </c>
      <c r="D230" s="25">
        <f t="shared" si="76"/>
        <v>0</v>
      </c>
      <c r="E230" s="49">
        <f t="shared" si="77"/>
        <v>0</v>
      </c>
      <c r="F230" s="49"/>
      <c r="G230" s="10">
        <v>1.2999999999999999E-2</v>
      </c>
      <c r="I230" s="26">
        <f t="shared" si="75"/>
        <v>0</v>
      </c>
      <c r="J230" s="14">
        <f t="shared" si="78"/>
        <v>0</v>
      </c>
      <c r="K230" s="46"/>
      <c r="L230" s="14">
        <f t="shared" si="79"/>
        <v>0</v>
      </c>
      <c r="M230" s="46"/>
      <c r="N230" s="39"/>
    </row>
    <row r="231" spans="1:14" x14ac:dyDescent="0.15">
      <c r="A231" s="23">
        <v>0</v>
      </c>
      <c r="B231" s="23">
        <v>0</v>
      </c>
      <c r="C231" s="24">
        <v>0</v>
      </c>
      <c r="D231" s="25">
        <f t="shared" si="76"/>
        <v>0</v>
      </c>
      <c r="E231" s="49">
        <f t="shared" si="77"/>
        <v>0</v>
      </c>
      <c r="F231" s="49"/>
      <c r="G231" s="10">
        <v>1.2999999999999999E-2</v>
      </c>
      <c r="I231" s="26">
        <f t="shared" si="75"/>
        <v>0</v>
      </c>
      <c r="J231" s="14">
        <f t="shared" si="78"/>
        <v>0</v>
      </c>
      <c r="K231" s="46"/>
      <c r="L231" s="14">
        <f t="shared" si="79"/>
        <v>0</v>
      </c>
      <c r="M231" s="46"/>
      <c r="N231" s="39"/>
    </row>
    <row r="232" spans="1:14" x14ac:dyDescent="0.15">
      <c r="A232" s="23">
        <v>0</v>
      </c>
      <c r="B232" s="23">
        <v>0</v>
      </c>
      <c r="C232" s="24">
        <v>0</v>
      </c>
      <c r="D232" s="25">
        <f t="shared" si="76"/>
        <v>0</v>
      </c>
      <c r="E232" s="49">
        <f t="shared" si="77"/>
        <v>0</v>
      </c>
      <c r="F232" s="49"/>
      <c r="G232" s="10">
        <v>1.2999999999999999E-2</v>
      </c>
      <c r="I232" s="26">
        <f t="shared" si="75"/>
        <v>0</v>
      </c>
      <c r="J232" s="14">
        <f t="shared" si="78"/>
        <v>0</v>
      </c>
      <c r="K232" s="46"/>
      <c r="L232" s="14">
        <f t="shared" si="79"/>
        <v>0</v>
      </c>
      <c r="M232" s="46"/>
      <c r="N232" s="39"/>
    </row>
    <row r="233" spans="1:14" x14ac:dyDescent="0.15">
      <c r="A233" s="23">
        <v>0</v>
      </c>
      <c r="B233" s="23">
        <v>0</v>
      </c>
      <c r="C233" s="24">
        <v>0</v>
      </c>
      <c r="D233" s="25">
        <f t="shared" si="76"/>
        <v>0</v>
      </c>
      <c r="E233" s="49">
        <f t="shared" si="77"/>
        <v>0</v>
      </c>
      <c r="F233" s="49"/>
      <c r="G233" s="10">
        <v>1.2999999999999999E-2</v>
      </c>
      <c r="I233" s="26">
        <f t="shared" si="75"/>
        <v>0</v>
      </c>
      <c r="J233" s="14">
        <f t="shared" si="78"/>
        <v>0</v>
      </c>
      <c r="K233" s="46"/>
      <c r="L233" s="14">
        <f t="shared" si="79"/>
        <v>0</v>
      </c>
      <c r="M233" s="46"/>
      <c r="N233" s="39"/>
    </row>
    <row r="234" spans="1:14" x14ac:dyDescent="0.15">
      <c r="A234" s="23">
        <v>0</v>
      </c>
      <c r="B234" s="23">
        <v>0</v>
      </c>
      <c r="C234" s="24">
        <v>0</v>
      </c>
      <c r="D234" s="25">
        <f t="shared" si="76"/>
        <v>0</v>
      </c>
      <c r="E234" s="49">
        <f t="shared" si="77"/>
        <v>0</v>
      </c>
      <c r="F234" s="49"/>
      <c r="G234" s="10">
        <v>1.2999999999999999E-2</v>
      </c>
      <c r="I234" s="26">
        <f t="shared" si="75"/>
        <v>0</v>
      </c>
      <c r="J234" s="14">
        <f t="shared" si="78"/>
        <v>0</v>
      </c>
      <c r="K234" s="46"/>
      <c r="L234" s="14">
        <f t="shared" si="79"/>
        <v>0</v>
      </c>
      <c r="M234" s="46"/>
      <c r="N234" s="39"/>
    </row>
    <row r="235" spans="1:14" x14ac:dyDescent="0.15">
      <c r="A235" s="23">
        <v>0</v>
      </c>
      <c r="B235" s="23">
        <v>0</v>
      </c>
      <c r="C235" s="24">
        <v>0</v>
      </c>
      <c r="D235" s="25">
        <f t="shared" si="76"/>
        <v>0</v>
      </c>
      <c r="E235" s="49">
        <f t="shared" si="77"/>
        <v>0</v>
      </c>
      <c r="F235" s="49"/>
      <c r="G235" s="10">
        <v>1.2999999999999999E-2</v>
      </c>
      <c r="I235" s="26">
        <f t="shared" si="75"/>
        <v>0</v>
      </c>
      <c r="J235" s="14">
        <f t="shared" si="78"/>
        <v>0</v>
      </c>
      <c r="K235" s="46"/>
      <c r="L235" s="14">
        <f t="shared" si="79"/>
        <v>0</v>
      </c>
      <c r="M235" s="46"/>
      <c r="N235" s="39"/>
    </row>
    <row r="236" spans="1:14" x14ac:dyDescent="0.15">
      <c r="A236" s="23">
        <v>0</v>
      </c>
      <c r="B236" s="23">
        <v>0</v>
      </c>
      <c r="C236" s="24">
        <v>0</v>
      </c>
      <c r="D236" s="25">
        <f t="shared" si="76"/>
        <v>0</v>
      </c>
      <c r="E236" s="49">
        <f t="shared" si="77"/>
        <v>0</v>
      </c>
      <c r="F236" s="49"/>
      <c r="G236" s="10">
        <v>1.2999999999999999E-2</v>
      </c>
      <c r="I236" s="26">
        <f t="shared" si="75"/>
        <v>0</v>
      </c>
      <c r="J236" s="14">
        <f t="shared" si="78"/>
        <v>0</v>
      </c>
      <c r="K236" s="47"/>
      <c r="L236" s="14">
        <f t="shared" si="79"/>
        <v>0</v>
      </c>
      <c r="M236" s="47"/>
      <c r="N236" s="39"/>
    </row>
    <row r="237" spans="1:14" x14ac:dyDescent="0.15">
      <c r="I237" s="32"/>
      <c r="J237" s="33"/>
      <c r="K237" s="33"/>
      <c r="L237" s="33"/>
      <c r="M237" s="33"/>
      <c r="N237" s="34"/>
    </row>
    <row r="243" spans="1:7" x14ac:dyDescent="0.15">
      <c r="A243" s="53"/>
      <c r="B243" s="53"/>
      <c r="C243" s="53"/>
      <c r="D243" s="53"/>
      <c r="E243" s="53"/>
      <c r="F243" s="53"/>
      <c r="G243" s="53"/>
    </row>
    <row r="244" spans="1:7" x14ac:dyDescent="0.15">
      <c r="A244" s="63" t="s">
        <v>2</v>
      </c>
      <c r="B244" s="63"/>
      <c r="C244" s="63"/>
      <c r="D244" s="63"/>
      <c r="E244" s="63"/>
      <c r="F244" s="63"/>
      <c r="G244" s="63"/>
    </row>
    <row r="245" spans="1:7" x14ac:dyDescent="0.15">
      <c r="A245" s="53" t="s">
        <v>1</v>
      </c>
      <c r="B245" s="53"/>
      <c r="C245" s="53"/>
      <c r="D245" s="53"/>
      <c r="E245" s="53"/>
      <c r="F245" s="53"/>
      <c r="G245" s="53"/>
    </row>
  </sheetData>
  <mergeCells count="377">
    <mergeCell ref="E236:F236"/>
    <mergeCell ref="G226:G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16:F216"/>
    <mergeCell ref="E217:F217"/>
    <mergeCell ref="E218:F218"/>
    <mergeCell ref="E219:F219"/>
    <mergeCell ref="E220:F220"/>
    <mergeCell ref="E221:F221"/>
    <mergeCell ref="E225:F225"/>
    <mergeCell ref="A226:A227"/>
    <mergeCell ref="B226:C226"/>
    <mergeCell ref="D226:D227"/>
    <mergeCell ref="E226:F227"/>
    <mergeCell ref="E210:F210"/>
    <mergeCell ref="A211:A212"/>
    <mergeCell ref="B211:C211"/>
    <mergeCell ref="D211:D212"/>
    <mergeCell ref="E211:F212"/>
    <mergeCell ref="G211:G212"/>
    <mergeCell ref="E213:F213"/>
    <mergeCell ref="E214:F214"/>
    <mergeCell ref="E215:F215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93:F193"/>
    <mergeCell ref="E196:F196"/>
    <mergeCell ref="A197:A198"/>
    <mergeCell ref="B197:C197"/>
    <mergeCell ref="D197:D198"/>
    <mergeCell ref="E197:F198"/>
    <mergeCell ref="G197:G198"/>
    <mergeCell ref="E199:F199"/>
    <mergeCell ref="G183:G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5:F175"/>
    <mergeCell ref="E176:F176"/>
    <mergeCell ref="E177:F177"/>
    <mergeCell ref="E182:F182"/>
    <mergeCell ref="A183:A184"/>
    <mergeCell ref="B183:C183"/>
    <mergeCell ref="D183:D184"/>
    <mergeCell ref="E183:F184"/>
    <mergeCell ref="A167:A168"/>
    <mergeCell ref="B167:C167"/>
    <mergeCell ref="D167:D168"/>
    <mergeCell ref="E167:F168"/>
    <mergeCell ref="G167:G168"/>
    <mergeCell ref="E171:F171"/>
    <mergeCell ref="E172:F172"/>
    <mergeCell ref="E173:F173"/>
    <mergeCell ref="E174:F174"/>
    <mergeCell ref="E169:F169"/>
    <mergeCell ref="E170:F170"/>
    <mergeCell ref="E16:F16"/>
    <mergeCell ref="E18:F18"/>
    <mergeCell ref="E31:F31"/>
    <mergeCell ref="E32:F32"/>
    <mergeCell ref="E27:F27"/>
    <mergeCell ref="E28:F28"/>
    <mergeCell ref="E42:F42"/>
    <mergeCell ref="E43:F43"/>
    <mergeCell ref="G36:G37"/>
    <mergeCell ref="E38:F38"/>
    <mergeCell ref="E39:F39"/>
    <mergeCell ref="E40:F40"/>
    <mergeCell ref="E41:F41"/>
    <mergeCell ref="E44:F44"/>
    <mergeCell ref="E45:F45"/>
    <mergeCell ref="E46:F46"/>
    <mergeCell ref="E50:F50"/>
    <mergeCell ref="A22:A23"/>
    <mergeCell ref="B22:C22"/>
    <mergeCell ref="D22:D23"/>
    <mergeCell ref="E22:F23"/>
    <mergeCell ref="G22:G23"/>
    <mergeCell ref="E25:F25"/>
    <mergeCell ref="F1:G1"/>
    <mergeCell ref="G8:G9"/>
    <mergeCell ref="E8:F9"/>
    <mergeCell ref="E10:F10"/>
    <mergeCell ref="E11:F11"/>
    <mergeCell ref="A243:G243"/>
    <mergeCell ref="A244:G244"/>
    <mergeCell ref="A245:G245"/>
    <mergeCell ref="A3:G3"/>
    <mergeCell ref="A4:G4"/>
    <mergeCell ref="A8:A9"/>
    <mergeCell ref="B8:C8"/>
    <mergeCell ref="D8:D9"/>
    <mergeCell ref="E14:F14"/>
    <mergeCell ref="E15:F15"/>
    <mergeCell ref="E12:F12"/>
    <mergeCell ref="E13:F13"/>
    <mergeCell ref="E7:F7"/>
    <mergeCell ref="E17:F17"/>
    <mergeCell ref="E24:F24"/>
    <mergeCell ref="E26:F26"/>
    <mergeCell ref="E21:F21"/>
    <mergeCell ref="E35:F35"/>
    <mergeCell ref="A36:A37"/>
    <mergeCell ref="B36:C36"/>
    <mergeCell ref="D36:D37"/>
    <mergeCell ref="E36:F37"/>
    <mergeCell ref="E29:F29"/>
    <mergeCell ref="E30:F30"/>
    <mergeCell ref="G65:G66"/>
    <mergeCell ref="E67:F67"/>
    <mergeCell ref="A51:A52"/>
    <mergeCell ref="B51:C51"/>
    <mergeCell ref="D51:D52"/>
    <mergeCell ref="E51:F52"/>
    <mergeCell ref="G51:G52"/>
    <mergeCell ref="E56:F56"/>
    <mergeCell ref="E57:F57"/>
    <mergeCell ref="E59:F59"/>
    <mergeCell ref="E53:F53"/>
    <mergeCell ref="E54:F54"/>
    <mergeCell ref="E55:F55"/>
    <mergeCell ref="E58:F58"/>
    <mergeCell ref="E78:F78"/>
    <mergeCell ref="A79:A80"/>
    <mergeCell ref="B79:C79"/>
    <mergeCell ref="D79:D80"/>
    <mergeCell ref="E79:F80"/>
    <mergeCell ref="E60:F60"/>
    <mergeCell ref="E61:F61"/>
    <mergeCell ref="E68:F68"/>
    <mergeCell ref="E64:F64"/>
    <mergeCell ref="A65:A66"/>
    <mergeCell ref="B65:C65"/>
    <mergeCell ref="D65:D66"/>
    <mergeCell ref="E65:F66"/>
    <mergeCell ref="A95:A96"/>
    <mergeCell ref="B95:C95"/>
    <mergeCell ref="D95:D96"/>
    <mergeCell ref="E95:F96"/>
    <mergeCell ref="G79:G80"/>
    <mergeCell ref="E84:F84"/>
    <mergeCell ref="E85:F85"/>
    <mergeCell ref="E81:F81"/>
    <mergeCell ref="E82:F82"/>
    <mergeCell ref="E83:F83"/>
    <mergeCell ref="E86:F86"/>
    <mergeCell ref="E87:F87"/>
    <mergeCell ref="E88:F88"/>
    <mergeCell ref="G95:G96"/>
    <mergeCell ref="A109:A110"/>
    <mergeCell ref="B109:C109"/>
    <mergeCell ref="D109:D110"/>
    <mergeCell ref="E109:F110"/>
    <mergeCell ref="A123:A124"/>
    <mergeCell ref="B123:C123"/>
    <mergeCell ref="D123:D124"/>
    <mergeCell ref="E123:F124"/>
    <mergeCell ref="E112:F112"/>
    <mergeCell ref="E113:F113"/>
    <mergeCell ref="E118:F118"/>
    <mergeCell ref="E119:F119"/>
    <mergeCell ref="E114:F114"/>
    <mergeCell ref="E115:F115"/>
    <mergeCell ref="E116:F116"/>
    <mergeCell ref="E117:F117"/>
    <mergeCell ref="A153:A154"/>
    <mergeCell ref="B153:C153"/>
    <mergeCell ref="D153:D154"/>
    <mergeCell ref="E153:F154"/>
    <mergeCell ref="G153:G154"/>
    <mergeCell ref="A139:A140"/>
    <mergeCell ref="B139:C139"/>
    <mergeCell ref="D139:D140"/>
    <mergeCell ref="E139:F140"/>
    <mergeCell ref="G139:G140"/>
    <mergeCell ref="E143:F143"/>
    <mergeCell ref="E145:F145"/>
    <mergeCell ref="E146:F146"/>
    <mergeCell ref="E147:F147"/>
    <mergeCell ref="E141:F141"/>
    <mergeCell ref="E142:F142"/>
    <mergeCell ref="E144:F144"/>
    <mergeCell ref="E166:F166"/>
    <mergeCell ref="E160:F160"/>
    <mergeCell ref="E161:F161"/>
    <mergeCell ref="E163:F163"/>
    <mergeCell ref="E148:F148"/>
    <mergeCell ref="E149:F149"/>
    <mergeCell ref="E152:F152"/>
    <mergeCell ref="I4:M4"/>
    <mergeCell ref="M38:M46"/>
    <mergeCell ref="J51:J52"/>
    <mergeCell ref="K51:K52"/>
    <mergeCell ref="L51:L52"/>
    <mergeCell ref="M51:M52"/>
    <mergeCell ref="K53:K61"/>
    <mergeCell ref="M53:M61"/>
    <mergeCell ref="J65:J66"/>
    <mergeCell ref="K65:K66"/>
    <mergeCell ref="L65:L66"/>
    <mergeCell ref="M65:M66"/>
    <mergeCell ref="K67:K75"/>
    <mergeCell ref="M67:M75"/>
    <mergeCell ref="J79:J80"/>
    <mergeCell ref="K79:K80"/>
    <mergeCell ref="E122:F122"/>
    <mergeCell ref="E101:F101"/>
    <mergeCell ref="K38:K46"/>
    <mergeCell ref="E111:F111"/>
    <mergeCell ref="E105:F105"/>
    <mergeCell ref="G109:G110"/>
    <mergeCell ref="E89:F89"/>
    <mergeCell ref="E94:F94"/>
    <mergeCell ref="E99:F99"/>
    <mergeCell ref="E100:F100"/>
    <mergeCell ref="E102:F102"/>
    <mergeCell ref="E97:F97"/>
    <mergeCell ref="E98:F98"/>
    <mergeCell ref="E103:F103"/>
    <mergeCell ref="E104:F104"/>
    <mergeCell ref="E108:F108"/>
    <mergeCell ref="K81:K89"/>
    <mergeCell ref="K111:K119"/>
    <mergeCell ref="E69:F69"/>
    <mergeCell ref="E70:F70"/>
    <mergeCell ref="E75:F75"/>
    <mergeCell ref="E71:F71"/>
    <mergeCell ref="E72:F72"/>
    <mergeCell ref="E73:F73"/>
    <mergeCell ref="E74:F74"/>
    <mergeCell ref="E155:F155"/>
    <mergeCell ref="E156:F156"/>
    <mergeCell ref="E157:F157"/>
    <mergeCell ref="E158:F158"/>
    <mergeCell ref="E159:F159"/>
    <mergeCell ref="E162:F162"/>
    <mergeCell ref="G123:G124"/>
    <mergeCell ref="E129:F129"/>
    <mergeCell ref="E130:F130"/>
    <mergeCell ref="E131:F131"/>
    <mergeCell ref="E132:F132"/>
    <mergeCell ref="E138:F138"/>
    <mergeCell ref="E127:F127"/>
    <mergeCell ref="E128:F128"/>
    <mergeCell ref="E133:F133"/>
    <mergeCell ref="E125:F125"/>
    <mergeCell ref="E126:F126"/>
    <mergeCell ref="M81:M89"/>
    <mergeCell ref="J95:J96"/>
    <mergeCell ref="K95:K96"/>
    <mergeCell ref="L95:L96"/>
    <mergeCell ref="M95:M96"/>
    <mergeCell ref="K97:K105"/>
    <mergeCell ref="M97:M105"/>
    <mergeCell ref="I3:M3"/>
    <mergeCell ref="J109:J110"/>
    <mergeCell ref="K109:K110"/>
    <mergeCell ref="L109:L110"/>
    <mergeCell ref="M109:M110"/>
    <mergeCell ref="K36:K37"/>
    <mergeCell ref="J36:J37"/>
    <mergeCell ref="M24:M32"/>
    <mergeCell ref="K24:K32"/>
    <mergeCell ref="M111:M119"/>
    <mergeCell ref="J123:J124"/>
    <mergeCell ref="K123:K124"/>
    <mergeCell ref="L123:L124"/>
    <mergeCell ref="M123:M124"/>
    <mergeCell ref="K125:K133"/>
    <mergeCell ref="M125:M133"/>
    <mergeCell ref="J139:J140"/>
    <mergeCell ref="K139:K140"/>
    <mergeCell ref="L139:L140"/>
    <mergeCell ref="M139:M140"/>
    <mergeCell ref="K141:K149"/>
    <mergeCell ref="M141:M149"/>
    <mergeCell ref="J153:J154"/>
    <mergeCell ref="K153:K154"/>
    <mergeCell ref="L153:L154"/>
    <mergeCell ref="M153:M154"/>
    <mergeCell ref="K155:K163"/>
    <mergeCell ref="M155:M163"/>
    <mergeCell ref="J167:J168"/>
    <mergeCell ref="K167:K168"/>
    <mergeCell ref="L167:L168"/>
    <mergeCell ref="M167:M168"/>
    <mergeCell ref="K169:K177"/>
    <mergeCell ref="M169:M177"/>
    <mergeCell ref="J183:J184"/>
    <mergeCell ref="K183:K184"/>
    <mergeCell ref="L183:L184"/>
    <mergeCell ref="M183:M184"/>
    <mergeCell ref="K185:K193"/>
    <mergeCell ref="M185:M193"/>
    <mergeCell ref="J197:J198"/>
    <mergeCell ref="K197:K198"/>
    <mergeCell ref="L197:L198"/>
    <mergeCell ref="M197:M198"/>
    <mergeCell ref="J226:J227"/>
    <mergeCell ref="K226:K227"/>
    <mergeCell ref="L226:L227"/>
    <mergeCell ref="M226:M227"/>
    <mergeCell ref="K228:K236"/>
    <mergeCell ref="M228:M236"/>
    <mergeCell ref="K199:K207"/>
    <mergeCell ref="M199:M207"/>
    <mergeCell ref="J211:J212"/>
    <mergeCell ref="K211:K212"/>
    <mergeCell ref="L211:L212"/>
    <mergeCell ref="M211:M212"/>
    <mergeCell ref="K213:K221"/>
    <mergeCell ref="M213:M221"/>
    <mergeCell ref="N22:N23"/>
    <mergeCell ref="N24:N32"/>
    <mergeCell ref="N36:N37"/>
    <mergeCell ref="M8:M9"/>
    <mergeCell ref="L8:L9"/>
    <mergeCell ref="K8:K9"/>
    <mergeCell ref="J8:J9"/>
    <mergeCell ref="M22:M23"/>
    <mergeCell ref="L22:L23"/>
    <mergeCell ref="K22:K23"/>
    <mergeCell ref="J22:J23"/>
    <mergeCell ref="M10:M18"/>
    <mergeCell ref="K10:K18"/>
    <mergeCell ref="N228:N236"/>
    <mergeCell ref="N109:N110"/>
    <mergeCell ref="N111:N119"/>
    <mergeCell ref="N123:N124"/>
    <mergeCell ref="N125:N133"/>
    <mergeCell ref="N139:N140"/>
    <mergeCell ref="N141:N149"/>
    <mergeCell ref="N153:N154"/>
    <mergeCell ref="N155:N163"/>
    <mergeCell ref="N167:N168"/>
    <mergeCell ref="L1:L2"/>
    <mergeCell ref="N169:N177"/>
    <mergeCell ref="N183:N184"/>
    <mergeCell ref="N185:N193"/>
    <mergeCell ref="N197:N198"/>
    <mergeCell ref="N199:N207"/>
    <mergeCell ref="N211:N212"/>
    <mergeCell ref="N213:N221"/>
    <mergeCell ref="N226:N227"/>
    <mergeCell ref="N38:N46"/>
    <mergeCell ref="N51:N52"/>
    <mergeCell ref="N53:N61"/>
    <mergeCell ref="N65:N66"/>
    <mergeCell ref="N67:N75"/>
    <mergeCell ref="N79:N80"/>
    <mergeCell ref="N81:N89"/>
    <mergeCell ref="N95:N96"/>
    <mergeCell ref="N97:N105"/>
    <mergeCell ref="M36:M37"/>
    <mergeCell ref="L36:L37"/>
    <mergeCell ref="L79:L80"/>
    <mergeCell ref="M79:M80"/>
    <mergeCell ref="N8:N9"/>
    <mergeCell ref="N10:N18"/>
  </mergeCells>
  <phoneticPr fontId="8" type="noConversion"/>
  <conditionalFormatting sqref="J10:J18">
    <cfRule type="cellIs" dxfId="65" priority="584" operator="greaterThanOrEqual">
      <formula>$J$6/100</formula>
    </cfRule>
    <cfRule type="cellIs" dxfId="64" priority="583" operator="lessThan">
      <formula>$J$6/100</formula>
    </cfRule>
  </conditionalFormatting>
  <conditionalFormatting sqref="M2:N2">
    <cfRule type="cellIs" dxfId="63" priority="395" operator="lessThan">
      <formula>0.0005</formula>
    </cfRule>
    <cfRule type="cellIs" dxfId="62" priority="396" operator="greaterThanOrEqual">
      <formula>0.0005</formula>
    </cfRule>
  </conditionalFormatting>
  <conditionalFormatting sqref="K10:M10 L11:L18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J24:J32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24:M24 L25:L32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38:J46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38:M38 L39:L46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53:J61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53:M53 L54:L61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67:J75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67:M67 L68:L75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81:J89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81:M81 L82:L89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97:J105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97:M97 L98:L105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111:J119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111:M111 L112:L119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125:J133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125:M125 L126:L133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141:J149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141:M141 L142:L149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155:J163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155:M155 L156:L163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69:J177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69:M169 L170:L177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85:J193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85:M185 L186:L193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99:J207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199:M199 L200:L207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213:J221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213:M213 L214:L221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228:J236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228:M228 L229:L236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results</vt:lpstr>
      <vt:lpstr>'Calibration results'!Print_Titles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2024-04-22T10:17:23Z</cp:lastPrinted>
  <dcterms:created xsi:type="dcterms:W3CDTF">2022-12-06T12:02:00Z</dcterms:created>
  <dcterms:modified xsi:type="dcterms:W3CDTF">2024-05-24T01:03:43Z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