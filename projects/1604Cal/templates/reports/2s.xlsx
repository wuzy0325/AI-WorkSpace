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1_WTN\01-1604\az\data\1604V2\"/>
    </mc:Choice>
  </mc:AlternateContent>
  <xr:revisionPtr revIDLastSave="0" documentId="13_ncr:1_{003DA535-9F20-4D29-B6EB-63099BE2FF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校准结果" sheetId="16" r:id="rId1"/>
  </sheets>
  <definedNames>
    <definedName name="_xlnm.Print_Titles" localSheetId="0">校准结果!$1:$4</definedName>
    <definedName name="单位">校准结果!$K$5</definedName>
    <definedName name="量程最大值">校准结果!$K$6</definedName>
    <definedName name="量程最小值">校准结果!$I$6</definedName>
    <definedName name="通道1">校准结果!$A$10</definedName>
    <definedName name="通道10">校准结果!$A$66</definedName>
    <definedName name="通道11">校准结果!$A$72</definedName>
    <definedName name="通道12">校准结果!$A$78</definedName>
    <definedName name="通道13">校准结果!$A$84</definedName>
    <definedName name="通道14">校准结果!$A$90</definedName>
    <definedName name="通道15">校准结果!$A$98</definedName>
    <definedName name="通道16">校准结果!$A$104</definedName>
    <definedName name="通道2">校准结果!$A$16</definedName>
    <definedName name="通道3">校准结果!$A$22</definedName>
    <definedName name="通道4">校准结果!$A$28</definedName>
    <definedName name="通道5">校准结果!$A$34</definedName>
    <definedName name="通道6">校准结果!$A$40</definedName>
    <definedName name="通道7">校准结果!$A$46</definedName>
    <definedName name="通道8">校准结果!$A$54</definedName>
    <definedName name="通道9">校准结果!$A$60</definedName>
    <definedName name="校准日期">校准结果!$I$5</definedName>
    <definedName name="准确度等级">校准结果!$G$6</definedName>
  </definedNames>
  <calcPr calcId="191029"/>
</workbook>
</file>

<file path=xl/calcChain.xml><?xml version="1.0" encoding="utf-8"?>
<calcChain xmlns="http://schemas.openxmlformats.org/spreadsheetml/2006/main">
  <c r="G105" i="16" l="1"/>
  <c r="F105" i="16"/>
  <c r="G104" i="16"/>
  <c r="H104" i="16" s="1"/>
  <c r="F104" i="16"/>
  <c r="F103" i="16"/>
  <c r="G101" i="16"/>
  <c r="G99" i="16"/>
  <c r="F99" i="16"/>
  <c r="H98" i="16"/>
  <c r="G98" i="16"/>
  <c r="F98" i="16"/>
  <c r="F97" i="16"/>
  <c r="G95" i="16"/>
  <c r="G91" i="16"/>
  <c r="F91" i="16"/>
  <c r="H90" i="16"/>
  <c r="G90" i="16"/>
  <c r="F90" i="16"/>
  <c r="F89" i="16"/>
  <c r="G87" i="16"/>
  <c r="G85" i="16"/>
  <c r="F85" i="16"/>
  <c r="H84" i="16"/>
  <c r="G84" i="16"/>
  <c r="F84" i="16"/>
  <c r="F83" i="16"/>
  <c r="G81" i="16"/>
  <c r="G79" i="16"/>
  <c r="H78" i="16" s="1"/>
  <c r="F79" i="16"/>
  <c r="G78" i="16"/>
  <c r="F78" i="16"/>
  <c r="F77" i="16"/>
  <c r="G75" i="16"/>
  <c r="G73" i="16"/>
  <c r="F73" i="16"/>
  <c r="H72" i="16"/>
  <c r="G72" i="16"/>
  <c r="F72" i="16"/>
  <c r="F71" i="16"/>
  <c r="G69" i="16"/>
  <c r="G67" i="16"/>
  <c r="F67" i="16"/>
  <c r="H66" i="16"/>
  <c r="G66" i="16"/>
  <c r="F66" i="16"/>
  <c r="F65" i="16"/>
  <c r="G63" i="16"/>
  <c r="G61" i="16"/>
  <c r="F61" i="16"/>
  <c r="H60" i="16"/>
  <c r="G60" i="16"/>
  <c r="F60" i="16"/>
  <c r="F59" i="16"/>
  <c r="G57" i="16"/>
  <c r="G55" i="16"/>
  <c r="F55" i="16"/>
  <c r="H54" i="16"/>
  <c r="G54" i="16"/>
  <c r="F54" i="16"/>
  <c r="F53" i="16"/>
  <c r="G51" i="16"/>
  <c r="G47" i="16"/>
  <c r="F47" i="16"/>
  <c r="H46" i="16"/>
  <c r="G46" i="16"/>
  <c r="F46" i="16"/>
  <c r="F45" i="16"/>
  <c r="G43" i="16"/>
  <c r="G41" i="16"/>
  <c r="F41" i="16"/>
  <c r="H40" i="16"/>
  <c r="G40" i="16"/>
  <c r="F40" i="16"/>
  <c r="F39" i="16"/>
  <c r="G37" i="16"/>
  <c r="G35" i="16"/>
  <c r="F35" i="16"/>
  <c r="H34" i="16"/>
  <c r="G34" i="16"/>
  <c r="F34" i="16"/>
  <c r="F33" i="16"/>
  <c r="G31" i="16"/>
  <c r="G29" i="16"/>
  <c r="F29" i="16"/>
  <c r="H28" i="16"/>
  <c r="G28" i="16"/>
  <c r="F28" i="16"/>
  <c r="F27" i="16"/>
  <c r="G25" i="16"/>
  <c r="G23" i="16"/>
  <c r="F23" i="16"/>
  <c r="H22" i="16"/>
  <c r="G22" i="16"/>
  <c r="F22" i="16"/>
  <c r="F21" i="16"/>
  <c r="G19" i="16"/>
  <c r="G17" i="16"/>
  <c r="F17" i="16"/>
  <c r="G16" i="16"/>
  <c r="H16" i="16" s="1"/>
  <c r="F16" i="16"/>
  <c r="F15" i="16"/>
  <c r="G13" i="16"/>
  <c r="D101" i="16"/>
  <c r="D95" i="16"/>
  <c r="D87" i="16"/>
  <c r="D81" i="16"/>
  <c r="D75" i="16"/>
  <c r="D69" i="16"/>
  <c r="D63" i="16"/>
  <c r="D57" i="16"/>
  <c r="D51" i="16"/>
  <c r="D43" i="16"/>
  <c r="D37" i="16"/>
  <c r="D31" i="16"/>
  <c r="D25" i="16"/>
  <c r="D19" i="16"/>
  <c r="D13" i="16"/>
  <c r="D7" i="16"/>
  <c r="C105" i="16" l="1"/>
  <c r="C104" i="16"/>
  <c r="C99" i="16"/>
  <c r="C98" i="16"/>
  <c r="C91" i="16"/>
  <c r="C90" i="16"/>
  <c r="C85" i="16"/>
  <c r="C84" i="16"/>
  <c r="C79" i="16"/>
  <c r="C78" i="16"/>
  <c r="C73" i="16"/>
  <c r="C72" i="16"/>
  <c r="C67" i="16"/>
  <c r="C66" i="16"/>
  <c r="C61" i="16"/>
  <c r="C60" i="16"/>
  <c r="C55" i="16"/>
  <c r="C54" i="16"/>
  <c r="C47" i="16"/>
  <c r="C46" i="16"/>
  <c r="C41" i="16"/>
  <c r="C40" i="16"/>
  <c r="C35" i="16"/>
  <c r="C34" i="16"/>
  <c r="C29" i="16"/>
  <c r="C28" i="16"/>
  <c r="C23" i="16"/>
  <c r="C22" i="16"/>
  <c r="C17" i="16"/>
  <c r="C16" i="16"/>
  <c r="C11" i="16"/>
  <c r="C10" i="16"/>
  <c r="F9" i="16"/>
  <c r="F11" i="16" l="1"/>
  <c r="F10" i="16"/>
  <c r="G7" i="16"/>
  <c r="G11" i="16" l="1"/>
  <c r="G10" i="16"/>
  <c r="H10" i="16" l="1"/>
</calcChain>
</file>

<file path=xl/sharedStrings.xml><?xml version="1.0" encoding="utf-8"?>
<sst xmlns="http://schemas.openxmlformats.org/spreadsheetml/2006/main" count="210" uniqueCount="43">
  <si>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</si>
  <si>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</si>
  <si>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</si>
  <si>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</si>
  <si>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</si>
  <si>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r>
      <rPr>
        <b/>
        <sz val="11"/>
        <color theme="1"/>
        <rFont val="宋体"/>
        <family val="3"/>
        <charset val="134"/>
      </rPr>
      <t>通道编号：</t>
    </r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</si>
  <si>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</si>
  <si>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</si>
  <si>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</si>
  <si>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</si>
  <si>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</si>
  <si>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</si>
  <si>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</si>
  <si>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</si>
  <si>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</si>
  <si>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</si>
  <si>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</si>
  <si>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</si>
  <si>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</si>
  <si>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</si>
  <si>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</si>
  <si>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</si>
  <si>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</si>
  <si>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单位：</t>
    <phoneticPr fontId="7" type="noConversion"/>
  </si>
  <si>
    <t>示值误差</t>
    <phoneticPr fontId="7" type="noConversion"/>
  </si>
  <si>
    <t>标准压力值</t>
    <phoneticPr fontId="7" type="noConversion"/>
  </si>
  <si>
    <t>被校设备显示值</t>
    <phoneticPr fontId="7" type="noConversion"/>
  </si>
  <si>
    <t>设备编号：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</si>
  <si>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</si>
  <si>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</si>
  <si>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</si>
  <si>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校准日期：</t>
    <phoneticPr fontId="7" type="noConversion"/>
  </si>
  <si>
    <t>丨示值误差丨
/满量程</t>
    <phoneticPr fontId="7" type="noConversion"/>
  </si>
  <si>
    <t>备注</t>
    <phoneticPr fontId="7" type="noConversion"/>
  </si>
  <si>
    <t>Min量程：</t>
    <phoneticPr fontId="7" type="noConversion"/>
  </si>
  <si>
    <t>Max量程：</t>
    <phoneticPr fontId="7" type="noConversion"/>
  </si>
  <si>
    <t>校准单位：</t>
    <phoneticPr fontId="7" type="noConversion"/>
  </si>
  <si>
    <t>准确度等级：</t>
    <phoneticPr fontId="7" type="noConversion"/>
  </si>
  <si>
    <t>证书编号：</t>
    <phoneticPr fontId="7" type="noConversion"/>
  </si>
  <si>
    <t>Certificate No.</t>
    <phoneticPr fontId="7" type="noConversion"/>
  </si>
  <si>
    <t>不合格</t>
    <phoneticPr fontId="7" type="noConversion"/>
  </si>
  <si>
    <t>合格</t>
    <phoneticPr fontId="7" type="noConversion"/>
  </si>
  <si>
    <t>示例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</si>
</sst>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4" xfId="2" applyFont="1" applyBorder="1" applyAlignment="1" applyProtection="1">
      <alignment horizontal="left" vertical="center" wrapText="1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179" fontId="3" fillId="0" borderId="0" xfId="0" applyNumberFormat="1" applyFont="1" applyAlignment="1">
      <alignment horizontal="center" vertical="center"/>
    </xf>
    <xf numFmtId="179" fontId="5" fillId="0" borderId="0" xfId="2" applyNumberFormat="1" applyFont="1" applyAlignment="1" applyProtection="1">
      <alignment horizontal="center" vertical="center" wrapText="1"/>
      <protection locked="0"/>
    </xf>
    <xf numFmtId="177" fontId="5" fillId="2" borderId="0" xfId="2" applyNumberFormat="1" applyFont="1" applyFill="1" applyAlignment="1" applyProtection="1">
      <alignment horizontal="center" vertical="center" wrapText="1"/>
      <protection locked="0"/>
    </xf>
    <xf numFmtId="179" fontId="5" fillId="0" borderId="0" xfId="2" applyNumberFormat="1" applyFont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/>
      <protection locked="0"/>
    </xf>
    <xf numFmtId="176" fontId="10" fillId="0" borderId="1" xfId="2" applyNumberFormat="1" applyFont="1" applyBorder="1" applyAlignment="1" applyProtection="1">
      <alignment horizontal="center" vertical="center" wrapText="1"/>
      <protection locked="0"/>
    </xf>
    <xf numFmtId="176" fontId="10" fillId="0" borderId="5" xfId="2" applyNumberFormat="1" applyFont="1" applyBorder="1" applyAlignment="1" applyProtection="1">
      <alignment horizontal="center" vertical="center" wrapText="1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 xr:uid="{00000000-0005-0000-0000-000002000000}"/>
    <cellStyle name="常规 3" xfId="2" xr:uid="{00000000-0005-0000-0000-000003000000}"/>
    <cellStyle name="常规 4" xfId="3" xr:uid="{00000000-0005-0000-0000-000004000000}"/>
    <cellStyle name="常规 5" xfId="4" xr:uid="{00000000-0005-0000-0000-000005000000}"/>
  </cellStyles>
  <dxfs count="1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1068705</xdr:colOff>
      <xdr:row>107</xdr:row>
      <xdr:rowOff>5715</xdr:rowOff>
    </xdr:from>
    <xdr:to>
      <xdr:col>2</xdr:col>
      <xdr:colOff>408305</xdr:colOff>
      <xdr:row>107</xdr:row>
      <xdr:rowOff>5715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516505" y="38326695"/>
          <a:ext cx="787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topLeftCell="A2" workbookViewId="0">
      <selection activeCell="M12" sqref="M12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3.1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3" t="s">
        <v>38</v>
      </c>
      <c r="D1" s="18"/>
      <c r="I1" s="51" t="s">
        <v>42</v>
      </c>
      <c r="J1" s="15" t="s">
        <v>40</v>
      </c>
      <c r="K1" s="15" t="s">
        <v>41</v>
      </c>
    </row>
    <row r="2" spans="1:12" ht="15" customHeight="1" x14ac:dyDescent="0.15">
      <c r="C2" s="24" t="s">
        <v>39</v>
      </c>
      <c r="I2" s="52"/>
      <c r="J2" s="10">
        <v>5.4000000000000001E-4</v>
      </c>
      <c r="K2" s="10">
        <v>1E-4</v>
      </c>
    </row>
    <row r="3" spans="1:12" ht="23.1" customHeight="1" x14ac:dyDescent="0.15">
      <c r="A3" s="47" t="s">
        <v>21</v>
      </c>
      <c r="B3" s="48"/>
      <c r="C3" s="48"/>
      <c r="D3" s="48"/>
      <c r="F3" s="47" t="s">
        <v>22</v>
      </c>
      <c r="G3" s="47"/>
      <c r="H3" s="47"/>
      <c r="I3" s="47"/>
      <c r="J3" s="47"/>
      <c r="K3" s="11"/>
      <c r="L3" s="11"/>
    </row>
    <row r="4" spans="1:12" ht="11.1" customHeight="1" x14ac:dyDescent="0.15">
      <c r="A4" s="49" t="s">
        <v>0</v>
      </c>
      <c r="B4" s="49"/>
      <c r="C4" s="49"/>
      <c r="D4" s="49"/>
      <c r="F4" s="45" t="s">
        <v>30</v>
      </c>
      <c r="G4" s="45"/>
      <c r="H4" s="45"/>
      <c r="I4" s="45"/>
      <c r="J4" s="45"/>
    </row>
    <row r="5" spans="1:12" ht="15" customHeight="1" x14ac:dyDescent="0.15">
      <c r="A5" s="2"/>
      <c r="B5" s="2"/>
      <c r="C5" s="2"/>
      <c r="D5" s="2"/>
      <c r="F5" s="19" t="s">
        <v>27</v>
      </c>
      <c r="G5" s="17"/>
      <c r="H5" s="19" t="s">
        <v>31</v>
      </c>
      <c r="I5" s="16"/>
      <c r="J5" s="19" t="s">
        <v>36</v>
      </c>
      <c r="K5" s="17" t="s">
        <v>29</v>
      </c>
    </row>
    <row r="6" spans="1:12" s="4" customFormat="1" ht="15" customHeight="1" x14ac:dyDescent="0.15">
      <c r="A6" s="5"/>
      <c r="B6" s="5"/>
      <c r="C6" s="5"/>
      <c r="D6" s="5"/>
      <c r="F6" s="19" t="s">
        <v>37</v>
      </c>
      <c r="G6" s="13">
        <v>0.05</v>
      </c>
      <c r="H6" s="19" t="s">
        <v>34</v>
      </c>
      <c r="I6" s="12">
        <v>0</v>
      </c>
      <c r="J6" s="19" t="s">
        <v>35</v>
      </c>
      <c r="K6" s="13">
        <v>100</v>
      </c>
    </row>
    <row r="7" spans="1:12" s="4" customFormat="1" ht="18.600000000000001" customHeight="1" x14ac:dyDescent="0.15">
      <c r="A7" s="7" t="s">
        <v>5</v>
      </c>
      <c r="B7" s="25" t="s">
        <v>4</v>
      </c>
      <c r="C7" s="27" t="s">
        <v>23</v>
      </c>
      <c r="D7" s="18" t="str">
        <f>$K$5</f>
        <v>psi</v>
      </c>
      <c r="F7" s="14" t="s">
        <v>5</v>
      </c>
      <c r="G7" s="9" t="str">
        <f>B7</f>
        <v>CH1</v>
      </c>
      <c r="I7" s="8"/>
      <c r="J7" s="3"/>
      <c r="K7" s="9"/>
    </row>
    <row r="8" spans="1:12" s="4" customFormat="1" ht="15" customHeight="1" x14ac:dyDescent="0.15">
      <c r="A8" s="34" t="s">
        <v>25</v>
      </c>
      <c r="B8" s="34" t="s">
        <v>26</v>
      </c>
      <c r="C8" s="50" t="s">
        <v>24</v>
      </c>
      <c r="D8" s="38" t="s">
        <v>3</v>
      </c>
      <c r="F8" s="33" t="s">
        <v>25</v>
      </c>
      <c r="G8" s="41" t="s">
        <v>32</v>
      </c>
      <c r="H8" s="39" t="s">
        <v>28</v>
      </c>
      <c r="I8" s="36" t="s">
        <v>33</v>
      </c>
      <c r="J8" s="36"/>
      <c r="K8" s="36"/>
    </row>
    <row r="9" spans="1:12" s="4" customFormat="1" x14ac:dyDescent="0.15">
      <c r="A9" s="35"/>
      <c r="B9" s="35"/>
      <c r="C9" s="44"/>
      <c r="D9" s="38"/>
      <c r="F9" s="32" t="str">
        <f>"（"&amp;$K$5&amp;"）"</f>
        <v>（psi）</v>
      </c>
      <c r="G9" s="40"/>
      <c r="H9" s="39"/>
      <c r="I9" s="36"/>
      <c r="J9" s="36"/>
      <c r="K9" s="36"/>
    </row>
    <row r="10" spans="1:12" s="4" customFormat="1" x14ac:dyDescent="0.15">
      <c r="A10" s="20">
        <v>0</v>
      </c>
      <c r="B10" s="20">
        <v>0</v>
      </c>
      <c r="C10" s="21">
        <f>B10-A10</f>
        <v>0</v>
      </c>
      <c r="D10" s="6">
        <v>1.2999999999999999E-2</v>
      </c>
      <c r="F10" s="22">
        <f t="shared" ref="F10:F11" si="0">A10</f>
        <v>0</v>
      </c>
      <c r="G10" s="10">
        <f t="shared" ref="G10:G11" si="1">ABS(C10)/($K$6-$I$6)</f>
        <v>0</v>
      </c>
      <c r="H10" s="53">
        <f>MAX(G10:G11)</f>
        <v>0</v>
      </c>
      <c r="I10" s="37"/>
      <c r="J10" s="37"/>
      <c r="K10" s="37"/>
    </row>
    <row r="11" spans="1:12" s="4" customFormat="1" x14ac:dyDescent="0.15">
      <c r="A11" s="20">
        <v>0</v>
      </c>
      <c r="B11" s="20">
        <v>0</v>
      </c>
      <c r="C11" s="21">
        <f t="shared" ref="C11" si="2">B11-A11</f>
        <v>0</v>
      </c>
      <c r="D11" s="6">
        <v>1.2999999999999999E-2</v>
      </c>
      <c r="F11" s="22">
        <f t="shared" si="0"/>
        <v>0</v>
      </c>
      <c r="G11" s="10">
        <f t="shared" si="1"/>
        <v>0</v>
      </c>
      <c r="H11" s="54"/>
      <c r="I11" s="37"/>
      <c r="J11" s="37"/>
      <c r="K11" s="37"/>
    </row>
    <row r="12" spans="1:12" s="4" customFormat="1" x14ac:dyDescent="0.15">
      <c r="A12" s="28"/>
      <c r="B12" s="28"/>
      <c r="C12" s="29"/>
      <c r="D12" s="30"/>
      <c r="F12" s="31"/>
      <c r="G12" s="31"/>
      <c r="H12" s="26"/>
      <c r="I12" s="26"/>
      <c r="J12" s="26"/>
      <c r="K12" s="26"/>
    </row>
    <row r="13" spans="1:12" x14ac:dyDescent="0.15">
      <c r="A13" s="7" t="s">
        <v>5</v>
      </c>
      <c r="B13" s="25" t="s">
        <v>6</v>
      </c>
      <c r="C13" s="8" t="s">
        <v>23</v>
      </c>
      <c r="D13" s="18" t="str">
        <f>$K$5</f>
        <v>psi</v>
      </c>
      <c r="F13" s="14" t="s">
        <v>5</v>
      </c>
      <c r="G13" s="9" t="str">
        <f>B13</f>
        <v>CH2</v>
      </c>
      <c r="H13" s="4"/>
      <c r="I13" s="8"/>
      <c r="J13" s="3"/>
      <c r="K13" s="9"/>
    </row>
    <row r="14" spans="1:12" ht="15" customHeight="1" x14ac:dyDescent="0.15">
      <c r="A14" s="35" t="s">
        <v>25</v>
      </c>
      <c r="B14" s="34" t="s">
        <v>26</v>
      </c>
      <c r="C14" s="43" t="s">
        <v>24</v>
      </c>
      <c r="D14" s="38" t="s">
        <v>3</v>
      </c>
      <c r="F14" s="33" t="s">
        <v>25</v>
      </c>
      <c r="G14" s="41" t="s">
        <v>32</v>
      </c>
      <c r="H14" s="39" t="s">
        <v>28</v>
      </c>
      <c r="I14" s="36" t="s">
        <v>33</v>
      </c>
      <c r="J14" s="36"/>
      <c r="K14" s="36"/>
    </row>
    <row r="15" spans="1:12" x14ac:dyDescent="0.15">
      <c r="A15" s="42"/>
      <c r="B15" s="35"/>
      <c r="C15" s="44"/>
      <c r="D15" s="38"/>
      <c r="F15" s="32" t="str">
        <f>"（"&amp;$K$5&amp;"）"</f>
        <v>（psi）</v>
      </c>
      <c r="G15" s="40"/>
      <c r="H15" s="39"/>
      <c r="I15" s="36"/>
      <c r="J15" s="36"/>
      <c r="K15" s="36"/>
    </row>
    <row r="16" spans="1:12" x14ac:dyDescent="0.15">
      <c r="A16" s="20">
        <v>0</v>
      </c>
      <c r="B16" s="20">
        <v>0</v>
      </c>
      <c r="C16" s="21">
        <f>B16-A16</f>
        <v>0</v>
      </c>
      <c r="D16" s="6">
        <v>1.2999999999999999E-2</v>
      </c>
      <c r="F16" s="22">
        <f t="shared" ref="F16:F17" si="3">A16</f>
        <v>0</v>
      </c>
      <c r="G16" s="10">
        <f t="shared" ref="G16:G17" si="4">ABS(C16)/($K$6-$I$6)</f>
        <v>0</v>
      </c>
      <c r="H16" s="53">
        <f>MAX(G16:G17)</f>
        <v>0</v>
      </c>
      <c r="I16" s="37"/>
      <c r="J16" s="37"/>
      <c r="K16" s="37"/>
    </row>
    <row r="17" spans="1:11" x14ac:dyDescent="0.15">
      <c r="A17" s="20">
        <v>0</v>
      </c>
      <c r="B17" s="20">
        <v>0</v>
      </c>
      <c r="C17" s="21">
        <f t="shared" ref="C17" si="5">B17-A17</f>
        <v>0</v>
      </c>
      <c r="D17" s="6">
        <v>1.2999999999999999E-2</v>
      </c>
      <c r="F17" s="22">
        <f t="shared" si="3"/>
        <v>0</v>
      </c>
      <c r="G17" s="10">
        <f t="shared" si="4"/>
        <v>0</v>
      </c>
      <c r="H17" s="54"/>
      <c r="I17" s="37"/>
      <c r="J17" s="37"/>
      <c r="K17" s="37"/>
    </row>
    <row r="18" spans="1:11" x14ac:dyDescent="0.15">
      <c r="A18" s="28"/>
      <c r="B18" s="28"/>
      <c r="C18" s="29"/>
      <c r="D18" s="30"/>
      <c r="F18" s="31"/>
      <c r="G18" s="31"/>
      <c r="H18" s="26"/>
      <c r="I18" s="26"/>
      <c r="J18" s="26"/>
      <c r="K18" s="26"/>
    </row>
    <row r="19" spans="1:11" x14ac:dyDescent="0.15">
      <c r="A19" s="7" t="s">
        <v>5</v>
      </c>
      <c r="B19" s="25" t="s">
        <v>7</v>
      </c>
      <c r="C19" s="8" t="s">
        <v>23</v>
      </c>
      <c r="D19" s="18" t="str">
        <f>$K$5</f>
        <v>psi</v>
      </c>
      <c r="F19" s="14" t="s">
        <v>5</v>
      </c>
      <c r="G19" s="9" t="str">
        <f>B19</f>
        <v>CH3</v>
      </c>
      <c r="H19" s="4"/>
      <c r="I19" s="8"/>
      <c r="J19" s="3"/>
      <c r="K19" s="9"/>
    </row>
    <row r="20" spans="1:11" ht="15" customHeight="1" x14ac:dyDescent="0.15">
      <c r="A20" s="35" t="s">
        <v>25</v>
      </c>
      <c r="B20" s="34" t="s">
        <v>26</v>
      </c>
      <c r="C20" s="43" t="s">
        <v>24</v>
      </c>
      <c r="D20" s="38" t="s">
        <v>3</v>
      </c>
      <c r="F20" s="33" t="s">
        <v>25</v>
      </c>
      <c r="G20" s="41" t="s">
        <v>32</v>
      </c>
      <c r="H20" s="39" t="s">
        <v>28</v>
      </c>
      <c r="I20" s="36" t="s">
        <v>33</v>
      </c>
      <c r="J20" s="36"/>
      <c r="K20" s="36"/>
    </row>
    <row r="21" spans="1:11" x14ac:dyDescent="0.15">
      <c r="A21" s="42"/>
      <c r="B21" s="35"/>
      <c r="C21" s="44"/>
      <c r="D21" s="38"/>
      <c r="F21" s="32" t="str">
        <f>"（"&amp;$K$5&amp;"）"</f>
        <v>（psi）</v>
      </c>
      <c r="G21" s="40"/>
      <c r="H21" s="39"/>
      <c r="I21" s="36"/>
      <c r="J21" s="36"/>
      <c r="K21" s="36"/>
    </row>
    <row r="22" spans="1:11" x14ac:dyDescent="0.15">
      <c r="A22" s="20">
        <v>0</v>
      </c>
      <c r="B22" s="20">
        <v>0</v>
      </c>
      <c r="C22" s="21">
        <f>B22-A22</f>
        <v>0</v>
      </c>
      <c r="D22" s="6">
        <v>1.2999999999999999E-2</v>
      </c>
      <c r="F22" s="22">
        <f t="shared" ref="F22:F23" si="6">A22</f>
        <v>0</v>
      </c>
      <c r="G22" s="10">
        <f t="shared" ref="G22:G23" si="7">ABS(C22)/($K$6-$I$6)</f>
        <v>0</v>
      </c>
      <c r="H22" s="53">
        <f>MAX(G22:G23)</f>
        <v>0</v>
      </c>
      <c r="I22" s="37"/>
      <c r="J22" s="37"/>
      <c r="K22" s="37"/>
    </row>
    <row r="23" spans="1:11" x14ac:dyDescent="0.15">
      <c r="A23" s="20">
        <v>0</v>
      </c>
      <c r="B23" s="20">
        <v>0</v>
      </c>
      <c r="C23" s="21">
        <f t="shared" ref="C23" si="8">B23-A23</f>
        <v>0</v>
      </c>
      <c r="D23" s="6">
        <v>1.2999999999999999E-2</v>
      </c>
      <c r="F23" s="22">
        <f t="shared" si="6"/>
        <v>0</v>
      </c>
      <c r="G23" s="10">
        <f t="shared" si="7"/>
        <v>0</v>
      </c>
      <c r="H23" s="54"/>
      <c r="I23" s="37"/>
      <c r="J23" s="37"/>
      <c r="K23" s="37"/>
    </row>
    <row r="24" spans="1:11" x14ac:dyDescent="0.15">
      <c r="A24" s="28"/>
      <c r="B24" s="28"/>
      <c r="C24" s="29"/>
      <c r="D24" s="30"/>
      <c r="F24" s="31"/>
      <c r="G24" s="31"/>
      <c r="H24" s="26"/>
      <c r="I24" s="26"/>
      <c r="J24" s="26"/>
      <c r="K24" s="26"/>
    </row>
    <row r="25" spans="1:11" x14ac:dyDescent="0.15">
      <c r="A25" s="7" t="s">
        <v>5</v>
      </c>
      <c r="B25" s="25" t="s">
        <v>8</v>
      </c>
      <c r="C25" s="8" t="s">
        <v>23</v>
      </c>
      <c r="D25" s="18" t="str">
        <f>$K$5</f>
        <v>psi</v>
      </c>
      <c r="F25" s="14" t="s">
        <v>5</v>
      </c>
      <c r="G25" s="9" t="str">
        <f>B25</f>
        <v>CH4</v>
      </c>
      <c r="H25" s="4"/>
      <c r="I25" s="8"/>
      <c r="J25" s="3"/>
      <c r="K25" s="9"/>
    </row>
    <row r="26" spans="1:11" ht="15" customHeight="1" x14ac:dyDescent="0.15">
      <c r="A26" s="35" t="s">
        <v>25</v>
      </c>
      <c r="B26" s="34" t="s">
        <v>26</v>
      </c>
      <c r="C26" s="43" t="s">
        <v>24</v>
      </c>
      <c r="D26" s="38" t="s">
        <v>3</v>
      </c>
      <c r="F26" s="33" t="s">
        <v>25</v>
      </c>
      <c r="G26" s="41" t="s">
        <v>32</v>
      </c>
      <c r="H26" s="39" t="s">
        <v>28</v>
      </c>
      <c r="I26" s="36" t="s">
        <v>33</v>
      </c>
      <c r="J26" s="36"/>
      <c r="K26" s="36"/>
    </row>
    <row r="27" spans="1:11" x14ac:dyDescent="0.15">
      <c r="A27" s="42"/>
      <c r="B27" s="35"/>
      <c r="C27" s="44"/>
      <c r="D27" s="38"/>
      <c r="F27" s="32" t="str">
        <f>"（"&amp;$K$5&amp;"）"</f>
        <v>（psi）</v>
      </c>
      <c r="G27" s="40"/>
      <c r="H27" s="39"/>
      <c r="I27" s="36"/>
      <c r="J27" s="36"/>
      <c r="K27" s="36"/>
    </row>
    <row r="28" spans="1:11" x14ac:dyDescent="0.15">
      <c r="A28" s="20">
        <v>0</v>
      </c>
      <c r="B28" s="20">
        <v>0</v>
      </c>
      <c r="C28" s="21">
        <f>B28-A28</f>
        <v>0</v>
      </c>
      <c r="D28" s="6">
        <v>1.2999999999999999E-2</v>
      </c>
      <c r="F28" s="22">
        <f t="shared" ref="F28:F29" si="9">A28</f>
        <v>0</v>
      </c>
      <c r="G28" s="10">
        <f t="shared" ref="G28:G29" si="10">ABS(C28)/($K$6-$I$6)</f>
        <v>0</v>
      </c>
      <c r="H28" s="53">
        <f>MAX(G28:G29)</f>
        <v>0</v>
      </c>
      <c r="I28" s="37"/>
      <c r="J28" s="37"/>
      <c r="K28" s="37"/>
    </row>
    <row r="29" spans="1:11" x14ac:dyDescent="0.15">
      <c r="A29" s="20">
        <v>0</v>
      </c>
      <c r="B29" s="20">
        <v>0</v>
      </c>
      <c r="C29" s="21">
        <f t="shared" ref="C29" si="11">B29-A29</f>
        <v>0</v>
      </c>
      <c r="D29" s="6">
        <v>1.2999999999999999E-2</v>
      </c>
      <c r="F29" s="22">
        <f t="shared" si="9"/>
        <v>0</v>
      </c>
      <c r="G29" s="10">
        <f t="shared" si="10"/>
        <v>0</v>
      </c>
      <c r="H29" s="54"/>
      <c r="I29" s="37"/>
      <c r="J29" s="37"/>
      <c r="K29" s="37"/>
    </row>
    <row r="30" spans="1:11" x14ac:dyDescent="0.15">
      <c r="A30" s="28"/>
      <c r="B30" s="28"/>
      <c r="C30" s="29"/>
      <c r="D30" s="30"/>
      <c r="F30" s="31"/>
      <c r="G30" s="31"/>
      <c r="H30" s="26"/>
      <c r="I30" s="26"/>
      <c r="J30" s="26"/>
      <c r="K30" s="26"/>
    </row>
    <row r="31" spans="1:11" x14ac:dyDescent="0.15">
      <c r="A31" s="7" t="s">
        <v>5</v>
      </c>
      <c r="B31" s="25" t="s">
        <v>9</v>
      </c>
      <c r="C31" s="8" t="s">
        <v>23</v>
      </c>
      <c r="D31" s="18" t="str">
        <f>$K$5</f>
        <v>psi</v>
      </c>
      <c r="F31" s="14" t="s">
        <v>5</v>
      </c>
      <c r="G31" s="9" t="str">
        <f>B31</f>
        <v>CH5</v>
      </c>
      <c r="H31" s="4"/>
      <c r="I31" s="8"/>
      <c r="J31" s="3"/>
      <c r="K31" s="9"/>
    </row>
    <row r="32" spans="1:11" ht="15" customHeight="1" x14ac:dyDescent="0.15">
      <c r="A32" s="35" t="s">
        <v>25</v>
      </c>
      <c r="B32" s="34" t="s">
        <v>26</v>
      </c>
      <c r="C32" s="43" t="s">
        <v>24</v>
      </c>
      <c r="D32" s="38" t="s">
        <v>3</v>
      </c>
      <c r="F32" s="33" t="s">
        <v>25</v>
      </c>
      <c r="G32" s="41" t="s">
        <v>32</v>
      </c>
      <c r="H32" s="39" t="s">
        <v>28</v>
      </c>
      <c r="I32" s="36" t="s">
        <v>33</v>
      </c>
      <c r="J32" s="36"/>
      <c r="K32" s="36"/>
    </row>
    <row r="33" spans="1:11" x14ac:dyDescent="0.15">
      <c r="A33" s="42"/>
      <c r="B33" s="35"/>
      <c r="C33" s="44"/>
      <c r="D33" s="38"/>
      <c r="F33" s="32" t="str">
        <f>"（"&amp;$K$5&amp;"）"</f>
        <v>（psi）</v>
      </c>
      <c r="G33" s="40"/>
      <c r="H33" s="39"/>
      <c r="I33" s="36"/>
      <c r="J33" s="36"/>
      <c r="K33" s="36"/>
    </row>
    <row r="34" spans="1:11" x14ac:dyDescent="0.15">
      <c r="A34" s="20">
        <v>0</v>
      </c>
      <c r="B34" s="20">
        <v>0</v>
      </c>
      <c r="C34" s="21">
        <f>B34-A34</f>
        <v>0</v>
      </c>
      <c r="D34" s="6">
        <v>1.2999999999999999E-2</v>
      </c>
      <c r="F34" s="22">
        <f t="shared" ref="F34:F35" si="12">A34</f>
        <v>0</v>
      </c>
      <c r="G34" s="10">
        <f t="shared" ref="G34:G35" si="13">ABS(C34)/($K$6-$I$6)</f>
        <v>0</v>
      </c>
      <c r="H34" s="53">
        <f>MAX(G34:G35)</f>
        <v>0</v>
      </c>
      <c r="I34" s="37"/>
      <c r="J34" s="37"/>
      <c r="K34" s="37"/>
    </row>
    <row r="35" spans="1:11" x14ac:dyDescent="0.15">
      <c r="A35" s="20">
        <v>0</v>
      </c>
      <c r="B35" s="20">
        <v>0</v>
      </c>
      <c r="C35" s="21">
        <f t="shared" ref="C35" si="14">B35-A35</f>
        <v>0</v>
      </c>
      <c r="D35" s="6">
        <v>1.2999999999999999E-2</v>
      </c>
      <c r="F35" s="22">
        <f t="shared" si="12"/>
        <v>0</v>
      </c>
      <c r="G35" s="10">
        <f t="shared" si="13"/>
        <v>0</v>
      </c>
      <c r="H35" s="54"/>
      <c r="I35" s="37"/>
      <c r="J35" s="37"/>
      <c r="K35" s="37"/>
    </row>
    <row r="36" spans="1:11" x14ac:dyDescent="0.15">
      <c r="A36" s="28"/>
      <c r="B36" s="28"/>
      <c r="C36" s="29"/>
      <c r="D36" s="30"/>
      <c r="F36" s="31"/>
      <c r="G36" s="26"/>
      <c r="H36" s="26"/>
      <c r="I36" s="26"/>
      <c r="J36" s="26"/>
      <c r="K36" s="26"/>
    </row>
    <row r="37" spans="1:11" x14ac:dyDescent="0.15">
      <c r="A37" s="7" t="s">
        <v>5</v>
      </c>
      <c r="B37" s="25" t="s">
        <v>10</v>
      </c>
      <c r="C37" s="8" t="s">
        <v>23</v>
      </c>
      <c r="D37" s="18" t="str">
        <f>$K$5</f>
        <v>psi</v>
      </c>
      <c r="F37" s="14" t="s">
        <v>5</v>
      </c>
      <c r="G37" s="9" t="str">
        <f>B37</f>
        <v>CH6</v>
      </c>
      <c r="H37" s="4"/>
      <c r="I37" s="8"/>
      <c r="J37" s="3"/>
      <c r="K37" s="9"/>
    </row>
    <row r="38" spans="1:11" ht="15" customHeight="1" x14ac:dyDescent="0.15">
      <c r="A38" s="35" t="s">
        <v>25</v>
      </c>
      <c r="B38" s="34" t="s">
        <v>26</v>
      </c>
      <c r="C38" s="43" t="s">
        <v>24</v>
      </c>
      <c r="D38" s="38" t="s">
        <v>3</v>
      </c>
      <c r="F38" s="33" t="s">
        <v>25</v>
      </c>
      <c r="G38" s="41" t="s">
        <v>32</v>
      </c>
      <c r="H38" s="39" t="s">
        <v>28</v>
      </c>
      <c r="I38" s="36" t="s">
        <v>33</v>
      </c>
      <c r="J38" s="36"/>
      <c r="K38" s="36"/>
    </row>
    <row r="39" spans="1:11" x14ac:dyDescent="0.15">
      <c r="A39" s="42"/>
      <c r="B39" s="35"/>
      <c r="C39" s="44"/>
      <c r="D39" s="38"/>
      <c r="F39" s="32" t="str">
        <f>"（"&amp;$K$5&amp;"）"</f>
        <v>（psi）</v>
      </c>
      <c r="G39" s="40"/>
      <c r="H39" s="39"/>
      <c r="I39" s="36"/>
      <c r="J39" s="36"/>
      <c r="K39" s="36"/>
    </row>
    <row r="40" spans="1:11" x14ac:dyDescent="0.15">
      <c r="A40" s="20">
        <v>0</v>
      </c>
      <c r="B40" s="20">
        <v>0</v>
      </c>
      <c r="C40" s="21">
        <f>B40-A40</f>
        <v>0</v>
      </c>
      <c r="D40" s="6">
        <v>1.2999999999999999E-2</v>
      </c>
      <c r="F40" s="22">
        <f t="shared" ref="F40:F41" si="15">A40</f>
        <v>0</v>
      </c>
      <c r="G40" s="10">
        <f t="shared" ref="G40:G41" si="16">ABS(C40)/($K$6-$I$6)</f>
        <v>0</v>
      </c>
      <c r="H40" s="53">
        <f>MAX(G40:G41)</f>
        <v>0</v>
      </c>
      <c r="I40" s="37"/>
      <c r="J40" s="37"/>
      <c r="K40" s="37"/>
    </row>
    <row r="41" spans="1:11" x14ac:dyDescent="0.15">
      <c r="A41" s="20">
        <v>0</v>
      </c>
      <c r="B41" s="20">
        <v>0</v>
      </c>
      <c r="C41" s="21">
        <f t="shared" ref="C41" si="17">B41-A41</f>
        <v>0</v>
      </c>
      <c r="D41" s="6">
        <v>1.2999999999999999E-2</v>
      </c>
      <c r="F41" s="22">
        <f t="shared" si="15"/>
        <v>0</v>
      </c>
      <c r="G41" s="10">
        <f t="shared" si="16"/>
        <v>0</v>
      </c>
      <c r="H41" s="54"/>
      <c r="I41" s="37"/>
      <c r="J41" s="37"/>
      <c r="K41" s="37"/>
    </row>
    <row r="42" spans="1:11" x14ac:dyDescent="0.15">
      <c r="A42" s="28"/>
      <c r="B42" s="28"/>
      <c r="C42" s="29"/>
      <c r="D42" s="30"/>
      <c r="F42" s="31"/>
      <c r="G42" s="31"/>
      <c r="H42" s="26"/>
      <c r="I42" s="26"/>
      <c r="J42" s="26"/>
      <c r="K42" s="26"/>
    </row>
    <row r="43" spans="1:11" x14ac:dyDescent="0.15">
      <c r="A43" s="7" t="s">
        <v>5</v>
      </c>
      <c r="B43" s="25" t="s">
        <v>11</v>
      </c>
      <c r="C43" s="8" t="s">
        <v>23</v>
      </c>
      <c r="D43" s="18" t="str">
        <f>$K$5</f>
        <v>psi</v>
      </c>
      <c r="F43" s="14" t="s">
        <v>5</v>
      </c>
      <c r="G43" s="9" t="str">
        <f>B43</f>
        <v>CH7</v>
      </c>
      <c r="H43" s="4"/>
      <c r="I43" s="8"/>
      <c r="J43" s="3"/>
      <c r="K43" s="9"/>
    </row>
    <row r="44" spans="1:11" ht="15" customHeight="1" x14ac:dyDescent="0.15">
      <c r="A44" s="35" t="s">
        <v>25</v>
      </c>
      <c r="B44" s="34" t="s">
        <v>26</v>
      </c>
      <c r="C44" s="43" t="s">
        <v>24</v>
      </c>
      <c r="D44" s="38" t="s">
        <v>3</v>
      </c>
      <c r="F44" s="33" t="s">
        <v>25</v>
      </c>
      <c r="G44" s="41" t="s">
        <v>32</v>
      </c>
      <c r="H44" s="39" t="s">
        <v>28</v>
      </c>
      <c r="I44" s="36" t="s">
        <v>33</v>
      </c>
      <c r="J44" s="36"/>
      <c r="K44" s="36"/>
    </row>
    <row r="45" spans="1:11" x14ac:dyDescent="0.15">
      <c r="A45" s="42"/>
      <c r="B45" s="35"/>
      <c r="C45" s="44"/>
      <c r="D45" s="38"/>
      <c r="F45" s="32" t="str">
        <f>"（"&amp;$K$5&amp;"）"</f>
        <v>（psi）</v>
      </c>
      <c r="G45" s="40"/>
      <c r="H45" s="39"/>
      <c r="I45" s="36"/>
      <c r="J45" s="36"/>
      <c r="K45" s="36"/>
    </row>
    <row r="46" spans="1:11" x14ac:dyDescent="0.15">
      <c r="A46" s="20">
        <v>0</v>
      </c>
      <c r="B46" s="20">
        <v>0</v>
      </c>
      <c r="C46" s="21">
        <f>B46-A46</f>
        <v>0</v>
      </c>
      <c r="D46" s="6">
        <v>1.2999999999999999E-2</v>
      </c>
      <c r="F46" s="22">
        <f t="shared" ref="F46:F47" si="18">A46</f>
        <v>0</v>
      </c>
      <c r="G46" s="10">
        <f t="shared" ref="G46:G47" si="19">ABS(C46)/($K$6-$I$6)</f>
        <v>0</v>
      </c>
      <c r="H46" s="53">
        <f>MAX(G46:G47)</f>
        <v>0</v>
      </c>
      <c r="I46" s="37"/>
      <c r="J46" s="37"/>
      <c r="K46" s="37"/>
    </row>
    <row r="47" spans="1:11" x14ac:dyDescent="0.15">
      <c r="A47" s="20">
        <v>0</v>
      </c>
      <c r="B47" s="20">
        <v>0</v>
      </c>
      <c r="C47" s="21">
        <f t="shared" ref="C47" si="20">B47-A47</f>
        <v>0</v>
      </c>
      <c r="D47" s="6">
        <v>1.2999999999999999E-2</v>
      </c>
      <c r="F47" s="22">
        <f t="shared" si="18"/>
        <v>0</v>
      </c>
      <c r="G47" s="10">
        <f t="shared" si="19"/>
        <v>0</v>
      </c>
      <c r="H47" s="54"/>
      <c r="I47" s="37"/>
      <c r="J47" s="37"/>
      <c r="K47" s="37"/>
    </row>
    <row r="48" spans="1:11" x14ac:dyDescent="0.15">
      <c r="A48" s="28"/>
      <c r="B48" s="28"/>
      <c r="C48" s="29"/>
      <c r="D48" s="30"/>
      <c r="F48" s="31"/>
      <c r="H48" s="26"/>
      <c r="I48" s="26"/>
      <c r="J48" s="26"/>
      <c r="K48" s="26"/>
    </row>
    <row r="49" spans="1:11" x14ac:dyDescent="0.15">
      <c r="A49" s="28"/>
      <c r="B49" s="28"/>
      <c r="C49" s="29"/>
      <c r="D49" s="30"/>
      <c r="F49" s="31"/>
      <c r="H49" s="26"/>
      <c r="I49" s="26"/>
      <c r="J49" s="26"/>
      <c r="K49" s="26"/>
    </row>
    <row r="50" spans="1:11" x14ac:dyDescent="0.15">
      <c r="A50" s="28"/>
      <c r="B50" s="28"/>
      <c r="C50" s="29"/>
      <c r="D50" s="30"/>
      <c r="F50" s="31"/>
      <c r="H50" s="26"/>
      <c r="I50" s="26"/>
      <c r="J50" s="26"/>
      <c r="K50" s="26"/>
    </row>
    <row r="51" spans="1:11" x14ac:dyDescent="0.15">
      <c r="A51" s="7" t="s">
        <v>5</v>
      </c>
      <c r="B51" s="25" t="s">
        <v>12</v>
      </c>
      <c r="C51" s="8" t="s">
        <v>23</v>
      </c>
      <c r="D51" s="18" t="str">
        <f>$K$5</f>
        <v>psi</v>
      </c>
      <c r="F51" s="14" t="s">
        <v>5</v>
      </c>
      <c r="G51" s="9" t="str">
        <f>B51</f>
        <v>CH8</v>
      </c>
      <c r="H51" s="4"/>
      <c r="I51" s="8"/>
      <c r="J51" s="3"/>
      <c r="K51" s="9"/>
    </row>
    <row r="52" spans="1:11" ht="15" customHeight="1" x14ac:dyDescent="0.15">
      <c r="A52" s="35" t="s">
        <v>25</v>
      </c>
      <c r="B52" s="34" t="s">
        <v>26</v>
      </c>
      <c r="C52" s="43" t="s">
        <v>24</v>
      </c>
      <c r="D52" s="38" t="s">
        <v>3</v>
      </c>
      <c r="F52" s="33" t="s">
        <v>25</v>
      </c>
      <c r="G52" s="41" t="s">
        <v>32</v>
      </c>
      <c r="H52" s="39" t="s">
        <v>28</v>
      </c>
      <c r="I52" s="36" t="s">
        <v>33</v>
      </c>
      <c r="J52" s="36"/>
      <c r="K52" s="36"/>
    </row>
    <row r="53" spans="1:11" x14ac:dyDescent="0.15">
      <c r="A53" s="42"/>
      <c r="B53" s="35"/>
      <c r="C53" s="44"/>
      <c r="D53" s="38"/>
      <c r="F53" s="32" t="str">
        <f>"（"&amp;$K$5&amp;"）"</f>
        <v>（psi）</v>
      </c>
      <c r="G53" s="40"/>
      <c r="H53" s="39"/>
      <c r="I53" s="36"/>
      <c r="J53" s="36"/>
      <c r="K53" s="36"/>
    </row>
    <row r="54" spans="1:11" x14ac:dyDescent="0.15">
      <c r="A54" s="20">
        <v>0</v>
      </c>
      <c r="B54" s="20">
        <v>0</v>
      </c>
      <c r="C54" s="21">
        <f>B54-A54</f>
        <v>0</v>
      </c>
      <c r="D54" s="6">
        <v>1.2999999999999999E-2</v>
      </c>
      <c r="F54" s="22">
        <f t="shared" ref="F54:F55" si="21">A54</f>
        <v>0</v>
      </c>
      <c r="G54" s="10">
        <f t="shared" ref="G54:G55" si="22">ABS(C54)/($K$6-$I$6)</f>
        <v>0</v>
      </c>
      <c r="H54" s="53">
        <f>MAX(G54:G55)</f>
        <v>0</v>
      </c>
      <c r="I54" s="37"/>
      <c r="J54" s="37"/>
      <c r="K54" s="37"/>
    </row>
    <row r="55" spans="1:11" x14ac:dyDescent="0.15">
      <c r="A55" s="20">
        <v>0</v>
      </c>
      <c r="B55" s="20">
        <v>0</v>
      </c>
      <c r="C55" s="21">
        <f t="shared" ref="C55" si="23">B55-A55</f>
        <v>0</v>
      </c>
      <c r="D55" s="6">
        <v>1.2999999999999999E-2</v>
      </c>
      <c r="F55" s="22">
        <f t="shared" si="21"/>
        <v>0</v>
      </c>
      <c r="G55" s="10">
        <f t="shared" si="22"/>
        <v>0</v>
      </c>
      <c r="H55" s="54"/>
      <c r="I55" s="37"/>
      <c r="J55" s="37"/>
      <c r="K55" s="37"/>
    </row>
    <row r="56" spans="1:11" x14ac:dyDescent="0.15">
      <c r="A56" s="28"/>
      <c r="B56" s="28"/>
      <c r="C56" s="29"/>
      <c r="D56" s="30"/>
      <c r="F56" s="31"/>
      <c r="G56" s="31"/>
      <c r="H56" s="26"/>
      <c r="I56" s="26"/>
      <c r="J56" s="26"/>
      <c r="K56" s="26"/>
    </row>
    <row r="57" spans="1:11" x14ac:dyDescent="0.15">
      <c r="A57" s="7" t="s">
        <v>5</v>
      </c>
      <c r="B57" s="25" t="s">
        <v>13</v>
      </c>
      <c r="C57" s="8" t="s">
        <v>23</v>
      </c>
      <c r="D57" s="18" t="str">
        <f>$K$5</f>
        <v>psi</v>
      </c>
      <c r="F57" s="14" t="s">
        <v>5</v>
      </c>
      <c r="G57" s="9" t="str">
        <f>B57</f>
        <v>CH9</v>
      </c>
      <c r="H57" s="4"/>
      <c r="I57" s="8"/>
      <c r="J57" s="3"/>
      <c r="K57" s="9"/>
    </row>
    <row r="58" spans="1:11" ht="15" customHeight="1" x14ac:dyDescent="0.15">
      <c r="A58" s="35" t="s">
        <v>25</v>
      </c>
      <c r="B58" s="34" t="s">
        <v>26</v>
      </c>
      <c r="C58" s="43" t="s">
        <v>24</v>
      </c>
      <c r="D58" s="38" t="s">
        <v>3</v>
      </c>
      <c r="F58" s="33" t="s">
        <v>25</v>
      </c>
      <c r="G58" s="41" t="s">
        <v>32</v>
      </c>
      <c r="H58" s="39" t="s">
        <v>28</v>
      </c>
      <c r="I58" s="36" t="s">
        <v>33</v>
      </c>
      <c r="J58" s="36"/>
      <c r="K58" s="36"/>
    </row>
    <row r="59" spans="1:11" x14ac:dyDescent="0.15">
      <c r="A59" s="42"/>
      <c r="B59" s="35"/>
      <c r="C59" s="44"/>
      <c r="D59" s="38"/>
      <c r="F59" s="32" t="str">
        <f>"（"&amp;$K$5&amp;"）"</f>
        <v>（psi）</v>
      </c>
      <c r="G59" s="40"/>
      <c r="H59" s="39"/>
      <c r="I59" s="36"/>
      <c r="J59" s="36"/>
      <c r="K59" s="36"/>
    </row>
    <row r="60" spans="1:11" x14ac:dyDescent="0.15">
      <c r="A60" s="20">
        <v>0</v>
      </c>
      <c r="B60" s="20">
        <v>0</v>
      </c>
      <c r="C60" s="21">
        <f>B60-A60</f>
        <v>0</v>
      </c>
      <c r="D60" s="6">
        <v>1.2999999999999999E-2</v>
      </c>
      <c r="F60" s="22">
        <f t="shared" ref="F60:F61" si="24">A60</f>
        <v>0</v>
      </c>
      <c r="G60" s="10">
        <f t="shared" ref="G60:G61" si="25">ABS(C60)/($K$6-$I$6)</f>
        <v>0</v>
      </c>
      <c r="H60" s="53">
        <f>MAX(G60:G61)</f>
        <v>0</v>
      </c>
      <c r="I60" s="37"/>
      <c r="J60" s="37"/>
      <c r="K60" s="37"/>
    </row>
    <row r="61" spans="1:11" x14ac:dyDescent="0.15">
      <c r="A61" s="20">
        <v>0</v>
      </c>
      <c r="B61" s="20">
        <v>0</v>
      </c>
      <c r="C61" s="21">
        <f t="shared" ref="C61" si="26">B61-A61</f>
        <v>0</v>
      </c>
      <c r="D61" s="6">
        <v>1.2999999999999999E-2</v>
      </c>
      <c r="F61" s="22">
        <f t="shared" si="24"/>
        <v>0</v>
      </c>
      <c r="G61" s="10">
        <f t="shared" si="25"/>
        <v>0</v>
      </c>
      <c r="H61" s="54"/>
      <c r="I61" s="37"/>
      <c r="J61" s="37"/>
      <c r="K61" s="37"/>
    </row>
    <row r="62" spans="1:11" x14ac:dyDescent="0.15">
      <c r="A62" s="28"/>
      <c r="B62" s="28"/>
      <c r="C62" s="29"/>
      <c r="D62" s="30"/>
      <c r="F62" s="31"/>
      <c r="G62" s="31"/>
      <c r="H62" s="26"/>
      <c r="I62" s="26"/>
      <c r="J62" s="26"/>
      <c r="K62" s="26"/>
    </row>
    <row r="63" spans="1:11" x14ac:dyDescent="0.15">
      <c r="A63" s="7" t="s">
        <v>5</v>
      </c>
      <c r="B63" s="25" t="s">
        <v>14</v>
      </c>
      <c r="C63" s="8" t="s">
        <v>23</v>
      </c>
      <c r="D63" s="18" t="str">
        <f>$K$5</f>
        <v>psi</v>
      </c>
      <c r="F63" s="14" t="s">
        <v>5</v>
      </c>
      <c r="G63" s="9" t="str">
        <f>B63</f>
        <v>CH10</v>
      </c>
      <c r="H63" s="4"/>
      <c r="I63" s="8"/>
      <c r="J63" s="3"/>
      <c r="K63" s="9"/>
    </row>
    <row r="64" spans="1:11" ht="15" customHeight="1" x14ac:dyDescent="0.15">
      <c r="A64" s="35" t="s">
        <v>25</v>
      </c>
      <c r="B64" s="34" t="s">
        <v>26</v>
      </c>
      <c r="C64" s="43" t="s">
        <v>24</v>
      </c>
      <c r="D64" s="38" t="s">
        <v>3</v>
      </c>
      <c r="F64" s="33" t="s">
        <v>25</v>
      </c>
      <c r="G64" s="41" t="s">
        <v>32</v>
      </c>
      <c r="H64" s="39" t="s">
        <v>28</v>
      </c>
      <c r="I64" s="36" t="s">
        <v>33</v>
      </c>
      <c r="J64" s="36"/>
      <c r="K64" s="36"/>
    </row>
    <row r="65" spans="1:11" x14ac:dyDescent="0.15">
      <c r="A65" s="42"/>
      <c r="B65" s="35"/>
      <c r="C65" s="44"/>
      <c r="D65" s="38"/>
      <c r="F65" s="32" t="str">
        <f>"（"&amp;$K$5&amp;"）"</f>
        <v>（psi）</v>
      </c>
      <c r="G65" s="40"/>
      <c r="H65" s="39"/>
      <c r="I65" s="36"/>
      <c r="J65" s="36"/>
      <c r="K65" s="36"/>
    </row>
    <row r="66" spans="1:11" x14ac:dyDescent="0.15">
      <c r="A66" s="20">
        <v>0</v>
      </c>
      <c r="B66" s="20">
        <v>0</v>
      </c>
      <c r="C66" s="21">
        <f>B66-A66</f>
        <v>0</v>
      </c>
      <c r="D66" s="6">
        <v>1.2999999999999999E-2</v>
      </c>
      <c r="F66" s="22">
        <f t="shared" ref="F66:F67" si="27">A66</f>
        <v>0</v>
      </c>
      <c r="G66" s="10">
        <f t="shared" ref="G66:G67" si="28">ABS(C66)/($K$6-$I$6)</f>
        <v>0</v>
      </c>
      <c r="H66" s="53">
        <f>MAX(G66:G67)</f>
        <v>0</v>
      </c>
      <c r="I66" s="37"/>
      <c r="J66" s="37"/>
      <c r="K66" s="37"/>
    </row>
    <row r="67" spans="1:11" x14ac:dyDescent="0.15">
      <c r="A67" s="20">
        <v>0</v>
      </c>
      <c r="B67" s="20">
        <v>0</v>
      </c>
      <c r="C67" s="21">
        <f t="shared" ref="C67" si="29">B67-A67</f>
        <v>0</v>
      </c>
      <c r="D67" s="6">
        <v>1.2999999999999999E-2</v>
      </c>
      <c r="F67" s="22">
        <f t="shared" si="27"/>
        <v>0</v>
      </c>
      <c r="G67" s="10">
        <f t="shared" si="28"/>
        <v>0</v>
      </c>
      <c r="H67" s="54"/>
      <c r="I67" s="37"/>
      <c r="J67" s="37"/>
      <c r="K67" s="37"/>
    </row>
    <row r="68" spans="1:11" x14ac:dyDescent="0.15">
      <c r="A68" s="28"/>
      <c r="B68" s="28"/>
      <c r="C68" s="29"/>
      <c r="D68" s="30"/>
      <c r="F68" s="31"/>
      <c r="G68" s="26"/>
      <c r="H68" s="26"/>
      <c r="I68" s="26"/>
      <c r="J68" s="26"/>
      <c r="K68" s="26"/>
    </row>
    <row r="69" spans="1:11" x14ac:dyDescent="0.15">
      <c r="A69" s="7" t="s">
        <v>5</v>
      </c>
      <c r="B69" s="25" t="s">
        <v>15</v>
      </c>
      <c r="C69" s="8" t="s">
        <v>23</v>
      </c>
      <c r="D69" s="18" t="str">
        <f>$K$5</f>
        <v>psi</v>
      </c>
      <c r="F69" s="14" t="s">
        <v>5</v>
      </c>
      <c r="G69" s="9" t="str">
        <f>B69</f>
        <v>CH11</v>
      </c>
      <c r="H69" s="4"/>
      <c r="I69" s="8"/>
      <c r="J69" s="3"/>
      <c r="K69" s="9"/>
    </row>
    <row r="70" spans="1:11" ht="15" customHeight="1" x14ac:dyDescent="0.15">
      <c r="A70" s="35" t="s">
        <v>25</v>
      </c>
      <c r="B70" s="34" t="s">
        <v>26</v>
      </c>
      <c r="C70" s="43" t="s">
        <v>24</v>
      </c>
      <c r="D70" s="38" t="s">
        <v>3</v>
      </c>
      <c r="F70" s="33" t="s">
        <v>25</v>
      </c>
      <c r="G70" s="41" t="s">
        <v>32</v>
      </c>
      <c r="H70" s="39" t="s">
        <v>28</v>
      </c>
      <c r="I70" s="36" t="s">
        <v>33</v>
      </c>
      <c r="J70" s="36"/>
      <c r="K70" s="36"/>
    </row>
    <row r="71" spans="1:11" x14ac:dyDescent="0.15">
      <c r="A71" s="42"/>
      <c r="B71" s="35"/>
      <c r="C71" s="44"/>
      <c r="D71" s="38"/>
      <c r="F71" s="32" t="str">
        <f>"（"&amp;$K$5&amp;"）"</f>
        <v>（psi）</v>
      </c>
      <c r="G71" s="40"/>
      <c r="H71" s="39"/>
      <c r="I71" s="36"/>
      <c r="J71" s="36"/>
      <c r="K71" s="36"/>
    </row>
    <row r="72" spans="1:11" x14ac:dyDescent="0.15">
      <c r="A72" s="20">
        <v>0</v>
      </c>
      <c r="B72" s="20">
        <v>0</v>
      </c>
      <c r="C72" s="21">
        <f>B72-A72</f>
        <v>0</v>
      </c>
      <c r="D72" s="6">
        <v>1.2999999999999999E-2</v>
      </c>
      <c r="F72" s="22">
        <f t="shared" ref="F72:F73" si="30">A72</f>
        <v>0</v>
      </c>
      <c r="G72" s="10">
        <f t="shared" ref="G72:G73" si="31">ABS(C72)/($K$6-$I$6)</f>
        <v>0</v>
      </c>
      <c r="H72" s="53">
        <f>MAX(G72:G73)</f>
        <v>0</v>
      </c>
      <c r="I72" s="37"/>
      <c r="J72" s="37"/>
      <c r="K72" s="37"/>
    </row>
    <row r="73" spans="1:11" x14ac:dyDescent="0.15">
      <c r="A73" s="20">
        <v>0</v>
      </c>
      <c r="B73" s="20">
        <v>0</v>
      </c>
      <c r="C73" s="21">
        <f t="shared" ref="C73" si="32">B73-A73</f>
        <v>0</v>
      </c>
      <c r="D73" s="6">
        <v>1.2999999999999999E-2</v>
      </c>
      <c r="F73" s="22">
        <f t="shared" si="30"/>
        <v>0</v>
      </c>
      <c r="G73" s="10">
        <f t="shared" si="31"/>
        <v>0</v>
      </c>
      <c r="H73" s="54"/>
      <c r="I73" s="37"/>
      <c r="J73" s="37"/>
      <c r="K73" s="37"/>
    </row>
    <row r="74" spans="1:11" x14ac:dyDescent="0.15">
      <c r="A74" s="28"/>
      <c r="B74" s="28"/>
      <c r="C74" s="29"/>
      <c r="D74" s="30"/>
      <c r="F74" s="31"/>
      <c r="G74" s="31"/>
      <c r="H74" s="26"/>
      <c r="I74" s="26"/>
      <c r="J74" s="26"/>
      <c r="K74" s="26"/>
    </row>
    <row r="75" spans="1:11" x14ac:dyDescent="0.15">
      <c r="A75" s="7" t="s">
        <v>5</v>
      </c>
      <c r="B75" s="25" t="s">
        <v>16</v>
      </c>
      <c r="C75" s="8" t="s">
        <v>23</v>
      </c>
      <c r="D75" s="18" t="str">
        <f>$K$5</f>
        <v>psi</v>
      </c>
      <c r="F75" s="14" t="s">
        <v>5</v>
      </c>
      <c r="G75" s="9" t="str">
        <f>B75</f>
        <v>CH12</v>
      </c>
      <c r="H75" s="4"/>
      <c r="I75" s="8"/>
      <c r="J75" s="3"/>
      <c r="K75" s="9"/>
    </row>
    <row r="76" spans="1:11" ht="15" customHeight="1" x14ac:dyDescent="0.15">
      <c r="A76" s="35" t="s">
        <v>25</v>
      </c>
      <c r="B76" s="34" t="s">
        <v>26</v>
      </c>
      <c r="C76" s="43" t="s">
        <v>24</v>
      </c>
      <c r="D76" s="38" t="s">
        <v>3</v>
      </c>
      <c r="F76" s="33" t="s">
        <v>25</v>
      </c>
      <c r="G76" s="41" t="s">
        <v>32</v>
      </c>
      <c r="H76" s="39" t="s">
        <v>28</v>
      </c>
      <c r="I76" s="36" t="s">
        <v>33</v>
      </c>
      <c r="J76" s="36"/>
      <c r="K76" s="36"/>
    </row>
    <row r="77" spans="1:11" x14ac:dyDescent="0.15">
      <c r="A77" s="42"/>
      <c r="B77" s="35"/>
      <c r="C77" s="44"/>
      <c r="D77" s="38"/>
      <c r="F77" s="32" t="str">
        <f>"（"&amp;$K$5&amp;"）"</f>
        <v>（psi）</v>
      </c>
      <c r="G77" s="40"/>
      <c r="H77" s="39"/>
      <c r="I77" s="36"/>
      <c r="J77" s="36"/>
      <c r="K77" s="36"/>
    </row>
    <row r="78" spans="1:11" x14ac:dyDescent="0.15">
      <c r="A78" s="20">
        <v>0</v>
      </c>
      <c r="B78" s="20">
        <v>0</v>
      </c>
      <c r="C78" s="21">
        <f>B78-A78</f>
        <v>0</v>
      </c>
      <c r="D78" s="6">
        <v>1.2999999999999999E-2</v>
      </c>
      <c r="F78" s="22">
        <f t="shared" ref="F78:F79" si="33">A78</f>
        <v>0</v>
      </c>
      <c r="G78" s="10">
        <f t="shared" ref="G78:G79" si="34">ABS(C78)/($K$6-$I$6)</f>
        <v>0</v>
      </c>
      <c r="H78" s="53">
        <f>MAX(G78:G79)</f>
        <v>0</v>
      </c>
      <c r="I78" s="37"/>
      <c r="J78" s="37"/>
      <c r="K78" s="37"/>
    </row>
    <row r="79" spans="1:11" x14ac:dyDescent="0.15">
      <c r="A79" s="20">
        <v>0</v>
      </c>
      <c r="B79" s="20">
        <v>0</v>
      </c>
      <c r="C79" s="21">
        <f t="shared" ref="C79" si="35">B79-A79</f>
        <v>0</v>
      </c>
      <c r="D79" s="6">
        <v>1.2999999999999999E-2</v>
      </c>
      <c r="F79" s="22">
        <f t="shared" si="33"/>
        <v>0</v>
      </c>
      <c r="G79" s="10">
        <f t="shared" si="34"/>
        <v>0</v>
      </c>
      <c r="H79" s="54"/>
      <c r="I79" s="37"/>
      <c r="J79" s="37"/>
      <c r="K79" s="37"/>
    </row>
    <row r="80" spans="1:11" x14ac:dyDescent="0.15">
      <c r="A80" s="28"/>
      <c r="B80" s="28"/>
      <c r="C80" s="29"/>
      <c r="D80" s="30"/>
      <c r="F80" s="31"/>
      <c r="G80" s="31"/>
      <c r="H80" s="26"/>
      <c r="I80" s="26"/>
      <c r="J80" s="26"/>
      <c r="K80" s="26"/>
    </row>
    <row r="81" spans="1:11" x14ac:dyDescent="0.15">
      <c r="A81" s="7" t="s">
        <v>5</v>
      </c>
      <c r="B81" s="25" t="s">
        <v>17</v>
      </c>
      <c r="C81" s="8" t="s">
        <v>23</v>
      </c>
      <c r="D81" s="18" t="str">
        <f>$K$5</f>
        <v>psi</v>
      </c>
      <c r="F81" s="14" t="s">
        <v>5</v>
      </c>
      <c r="G81" s="9" t="str">
        <f>B81</f>
        <v>CH13</v>
      </c>
      <c r="H81" s="4"/>
      <c r="I81" s="8"/>
      <c r="J81" s="3"/>
      <c r="K81" s="9"/>
    </row>
    <row r="82" spans="1:11" ht="15" customHeight="1" x14ac:dyDescent="0.15">
      <c r="A82" s="35" t="s">
        <v>25</v>
      </c>
      <c r="B82" s="34" t="s">
        <v>26</v>
      </c>
      <c r="C82" s="43" t="s">
        <v>24</v>
      </c>
      <c r="D82" s="38" t="s">
        <v>3</v>
      </c>
      <c r="F82" s="33" t="s">
        <v>25</v>
      </c>
      <c r="G82" s="41" t="s">
        <v>32</v>
      </c>
      <c r="H82" s="39" t="s">
        <v>28</v>
      </c>
      <c r="I82" s="36" t="s">
        <v>33</v>
      </c>
      <c r="J82" s="36"/>
      <c r="K82" s="36"/>
    </row>
    <row r="83" spans="1:11" x14ac:dyDescent="0.15">
      <c r="A83" s="42"/>
      <c r="B83" s="35"/>
      <c r="C83" s="44"/>
      <c r="D83" s="38"/>
      <c r="F83" s="32" t="str">
        <f>"（"&amp;$K$5&amp;"）"</f>
        <v>（psi）</v>
      </c>
      <c r="G83" s="40"/>
      <c r="H83" s="39"/>
      <c r="I83" s="36"/>
      <c r="J83" s="36"/>
      <c r="K83" s="36"/>
    </row>
    <row r="84" spans="1:11" x14ac:dyDescent="0.15">
      <c r="A84" s="20">
        <v>0</v>
      </c>
      <c r="B84" s="20">
        <v>0</v>
      </c>
      <c r="C84" s="21">
        <f>B84-A84</f>
        <v>0</v>
      </c>
      <c r="D84" s="6">
        <v>1.2999999999999999E-2</v>
      </c>
      <c r="F84" s="22">
        <f t="shared" ref="F84:F85" si="36">A84</f>
        <v>0</v>
      </c>
      <c r="G84" s="10">
        <f t="shared" ref="G84:G85" si="37">ABS(C84)/($K$6-$I$6)</f>
        <v>0</v>
      </c>
      <c r="H84" s="53">
        <f>MAX(G84:G85)</f>
        <v>0</v>
      </c>
      <c r="I84" s="37"/>
      <c r="J84" s="37"/>
      <c r="K84" s="37"/>
    </row>
    <row r="85" spans="1:11" x14ac:dyDescent="0.15">
      <c r="A85" s="20">
        <v>0</v>
      </c>
      <c r="B85" s="20">
        <v>0</v>
      </c>
      <c r="C85" s="21">
        <f t="shared" ref="C85" si="38">B85-A85</f>
        <v>0</v>
      </c>
      <c r="D85" s="6">
        <v>1.2999999999999999E-2</v>
      </c>
      <c r="F85" s="22">
        <f t="shared" si="36"/>
        <v>0</v>
      </c>
      <c r="G85" s="10">
        <f t="shared" si="37"/>
        <v>0</v>
      </c>
      <c r="H85" s="54"/>
      <c r="I85" s="37"/>
      <c r="J85" s="37"/>
      <c r="K85" s="37"/>
    </row>
    <row r="86" spans="1:11" x14ac:dyDescent="0.15">
      <c r="A86" s="28"/>
      <c r="B86" s="28"/>
      <c r="C86" s="29"/>
      <c r="D86" s="30"/>
      <c r="F86" s="31"/>
      <c r="G86" s="31"/>
      <c r="H86" s="26"/>
      <c r="I86" s="26"/>
      <c r="J86" s="26"/>
      <c r="K86" s="26"/>
    </row>
    <row r="87" spans="1:11" x14ac:dyDescent="0.15">
      <c r="A87" s="7" t="s">
        <v>5</v>
      </c>
      <c r="B87" s="25" t="s">
        <v>18</v>
      </c>
      <c r="C87" s="8" t="s">
        <v>23</v>
      </c>
      <c r="D87" s="18" t="str">
        <f>$K$5</f>
        <v>psi</v>
      </c>
      <c r="F87" s="14" t="s">
        <v>5</v>
      </c>
      <c r="G87" s="9" t="str">
        <f>B87</f>
        <v>CH14</v>
      </c>
      <c r="H87" s="4"/>
      <c r="I87" s="8"/>
      <c r="J87" s="3"/>
      <c r="K87" s="9"/>
    </row>
    <row r="88" spans="1:11" ht="15" customHeight="1" x14ac:dyDescent="0.15">
      <c r="A88" s="35" t="s">
        <v>25</v>
      </c>
      <c r="B88" s="34" t="s">
        <v>26</v>
      </c>
      <c r="C88" s="43" t="s">
        <v>24</v>
      </c>
      <c r="D88" s="38" t="s">
        <v>3</v>
      </c>
      <c r="F88" s="33" t="s">
        <v>25</v>
      </c>
      <c r="G88" s="41" t="s">
        <v>32</v>
      </c>
      <c r="H88" s="39" t="s">
        <v>28</v>
      </c>
      <c r="I88" s="36" t="s">
        <v>33</v>
      </c>
      <c r="J88" s="36"/>
      <c r="K88" s="36"/>
    </row>
    <row r="89" spans="1:11" x14ac:dyDescent="0.15">
      <c r="A89" s="42"/>
      <c r="B89" s="35"/>
      <c r="C89" s="44"/>
      <c r="D89" s="38"/>
      <c r="F89" s="32" t="str">
        <f>"（"&amp;$K$5&amp;"）"</f>
        <v>（psi）</v>
      </c>
      <c r="G89" s="40"/>
      <c r="H89" s="39"/>
      <c r="I89" s="36"/>
      <c r="J89" s="36"/>
      <c r="K89" s="36"/>
    </row>
    <row r="90" spans="1:11" x14ac:dyDescent="0.15">
      <c r="A90" s="20">
        <v>0</v>
      </c>
      <c r="B90" s="20">
        <v>0</v>
      </c>
      <c r="C90" s="21">
        <f>B90-A90</f>
        <v>0</v>
      </c>
      <c r="D90" s="6">
        <v>1.2999999999999999E-2</v>
      </c>
      <c r="F90" s="22">
        <f t="shared" ref="F90:F91" si="39">A90</f>
        <v>0</v>
      </c>
      <c r="G90" s="10">
        <f t="shared" ref="G90:G91" si="40">ABS(C90)/($K$6-$I$6)</f>
        <v>0</v>
      </c>
      <c r="H90" s="53">
        <f>MAX(G90:G91)</f>
        <v>0</v>
      </c>
      <c r="I90" s="37"/>
      <c r="J90" s="37"/>
      <c r="K90" s="37"/>
    </row>
    <row r="91" spans="1:11" x14ac:dyDescent="0.15">
      <c r="A91" s="20">
        <v>0</v>
      </c>
      <c r="B91" s="20">
        <v>0</v>
      </c>
      <c r="C91" s="21">
        <f t="shared" ref="C91" si="41">B91-A91</f>
        <v>0</v>
      </c>
      <c r="D91" s="6">
        <v>1.2999999999999999E-2</v>
      </c>
      <c r="F91" s="22">
        <f t="shared" si="39"/>
        <v>0</v>
      </c>
      <c r="G91" s="10">
        <f t="shared" si="40"/>
        <v>0</v>
      </c>
      <c r="H91" s="54"/>
      <c r="I91" s="37"/>
      <c r="J91" s="37"/>
      <c r="K91" s="37"/>
    </row>
    <row r="92" spans="1:11" x14ac:dyDescent="0.15">
      <c r="A92" s="28"/>
      <c r="B92" s="28"/>
      <c r="C92" s="29"/>
      <c r="D92" s="30"/>
      <c r="F92" s="31"/>
      <c r="H92" s="26"/>
      <c r="I92" s="26"/>
      <c r="J92" s="26"/>
      <c r="K92" s="26"/>
    </row>
    <row r="93" spans="1:11" x14ac:dyDescent="0.15">
      <c r="A93" s="28"/>
      <c r="B93" s="28"/>
      <c r="C93" s="29"/>
      <c r="D93" s="30"/>
      <c r="F93" s="31"/>
      <c r="H93" s="26"/>
      <c r="I93" s="26"/>
      <c r="J93" s="26"/>
      <c r="K93" s="26"/>
    </row>
    <row r="94" spans="1:11" x14ac:dyDescent="0.15">
      <c r="A94" s="28"/>
      <c r="B94" s="28"/>
      <c r="C94" s="29"/>
      <c r="D94" s="30"/>
      <c r="F94" s="31"/>
      <c r="G94" s="31"/>
      <c r="H94" s="26"/>
      <c r="I94" s="26"/>
      <c r="J94" s="26"/>
      <c r="K94" s="26"/>
    </row>
    <row r="95" spans="1:11" x14ac:dyDescent="0.15">
      <c r="A95" s="7" t="s">
        <v>5</v>
      </c>
      <c r="B95" s="25" t="s">
        <v>19</v>
      </c>
      <c r="C95" s="8" t="s">
        <v>23</v>
      </c>
      <c r="D95" s="18" t="str">
        <f>$K$5</f>
        <v>psi</v>
      </c>
      <c r="F95" s="14" t="s">
        <v>5</v>
      </c>
      <c r="G95" s="9" t="str">
        <f>B95</f>
        <v>CH15</v>
      </c>
      <c r="H95" s="4"/>
      <c r="I95" s="8"/>
      <c r="J95" s="3"/>
      <c r="K95" s="9"/>
    </row>
    <row r="96" spans="1:11" ht="15" customHeight="1" x14ac:dyDescent="0.15">
      <c r="A96" s="35" t="s">
        <v>25</v>
      </c>
      <c r="B96" s="34" t="s">
        <v>26</v>
      </c>
      <c r="C96" s="43" t="s">
        <v>24</v>
      </c>
      <c r="D96" s="38" t="s">
        <v>3</v>
      </c>
      <c r="F96" s="33" t="s">
        <v>25</v>
      </c>
      <c r="G96" s="41" t="s">
        <v>32</v>
      </c>
      <c r="H96" s="39" t="s">
        <v>28</v>
      </c>
      <c r="I96" s="36" t="s">
        <v>33</v>
      </c>
      <c r="J96" s="36"/>
      <c r="K96" s="36"/>
    </row>
    <row r="97" spans="1:11" x14ac:dyDescent="0.15">
      <c r="A97" s="42"/>
      <c r="B97" s="35"/>
      <c r="C97" s="44"/>
      <c r="D97" s="38"/>
      <c r="F97" s="32" t="str">
        <f>"（"&amp;$K$5&amp;"）"</f>
        <v>（psi）</v>
      </c>
      <c r="G97" s="40"/>
      <c r="H97" s="39"/>
      <c r="I97" s="36"/>
      <c r="J97" s="36"/>
      <c r="K97" s="36"/>
    </row>
    <row r="98" spans="1:11" x14ac:dyDescent="0.15">
      <c r="A98" s="20">
        <v>0</v>
      </c>
      <c r="B98" s="20">
        <v>0</v>
      </c>
      <c r="C98" s="21">
        <f>B98-A98</f>
        <v>0</v>
      </c>
      <c r="D98" s="6">
        <v>1.2999999999999999E-2</v>
      </c>
      <c r="F98" s="22">
        <f t="shared" ref="F98:F99" si="42">A98</f>
        <v>0</v>
      </c>
      <c r="G98" s="10">
        <f t="shared" ref="G98:G99" si="43">ABS(C98)/($K$6-$I$6)</f>
        <v>0</v>
      </c>
      <c r="H98" s="53">
        <f>MAX(G98:G99)</f>
        <v>0</v>
      </c>
      <c r="I98" s="37"/>
      <c r="J98" s="37"/>
      <c r="K98" s="37"/>
    </row>
    <row r="99" spans="1:11" x14ac:dyDescent="0.15">
      <c r="A99" s="20">
        <v>0</v>
      </c>
      <c r="B99" s="20">
        <v>0</v>
      </c>
      <c r="C99" s="21">
        <f t="shared" ref="C99" si="44">B99-A99</f>
        <v>0</v>
      </c>
      <c r="D99" s="6">
        <v>1.2999999999999999E-2</v>
      </c>
      <c r="F99" s="22">
        <f t="shared" si="42"/>
        <v>0</v>
      </c>
      <c r="G99" s="10">
        <f t="shared" si="43"/>
        <v>0</v>
      </c>
      <c r="H99" s="54"/>
      <c r="I99" s="37"/>
      <c r="J99" s="37"/>
      <c r="K99" s="37"/>
    </row>
    <row r="100" spans="1:11" x14ac:dyDescent="0.15">
      <c r="A100" s="28"/>
      <c r="B100" s="28"/>
      <c r="C100" s="29"/>
      <c r="D100" s="30"/>
      <c r="F100" s="31"/>
      <c r="G100" s="31"/>
      <c r="H100" s="26"/>
      <c r="I100" s="26"/>
      <c r="J100" s="26"/>
      <c r="K100" s="26"/>
    </row>
    <row r="101" spans="1:11" x14ac:dyDescent="0.15">
      <c r="A101" s="7" t="s">
        <v>5</v>
      </c>
      <c r="B101" s="25" t="s">
        <v>20</v>
      </c>
      <c r="C101" s="8" t="s">
        <v>23</v>
      </c>
      <c r="D101" s="18" t="str">
        <f>$K$5</f>
        <v>psi</v>
      </c>
      <c r="F101" s="14" t="s">
        <v>5</v>
      </c>
      <c r="G101" s="9" t="str">
        <f>B101</f>
        <v>CH16</v>
      </c>
      <c r="H101" s="4"/>
      <c r="I101" s="8"/>
      <c r="J101" s="3"/>
      <c r="K101" s="9"/>
    </row>
    <row r="102" spans="1:11" ht="15" customHeight="1" x14ac:dyDescent="0.15">
      <c r="A102" s="35" t="s">
        <v>25</v>
      </c>
      <c r="B102" s="34" t="s">
        <v>26</v>
      </c>
      <c r="C102" s="43" t="s">
        <v>24</v>
      </c>
      <c r="D102" s="38" t="s">
        <v>3</v>
      </c>
      <c r="F102" s="33" t="s">
        <v>25</v>
      </c>
      <c r="G102" s="41" t="s">
        <v>32</v>
      </c>
      <c r="H102" s="39" t="s">
        <v>28</v>
      </c>
      <c r="I102" s="36" t="s">
        <v>33</v>
      </c>
      <c r="J102" s="36"/>
      <c r="K102" s="36"/>
    </row>
    <row r="103" spans="1:11" x14ac:dyDescent="0.15">
      <c r="A103" s="42"/>
      <c r="B103" s="35"/>
      <c r="C103" s="44"/>
      <c r="D103" s="38"/>
      <c r="F103" s="32" t="str">
        <f>"（"&amp;$K$5&amp;"）"</f>
        <v>（psi）</v>
      </c>
      <c r="G103" s="40"/>
      <c r="H103" s="39"/>
      <c r="I103" s="36"/>
      <c r="J103" s="36"/>
      <c r="K103" s="36"/>
    </row>
    <row r="104" spans="1:11" x14ac:dyDescent="0.15">
      <c r="A104" s="20">
        <v>0</v>
      </c>
      <c r="B104" s="20">
        <v>0</v>
      </c>
      <c r="C104" s="21">
        <f>B104-A104</f>
        <v>0</v>
      </c>
      <c r="D104" s="6">
        <v>1.2999999999999999E-2</v>
      </c>
      <c r="F104" s="22">
        <f t="shared" ref="F104:F105" si="45">A104</f>
        <v>0</v>
      </c>
      <c r="G104" s="10">
        <f t="shared" ref="G104:G105" si="46">ABS(C104)/($K$6-$I$6)</f>
        <v>0</v>
      </c>
      <c r="H104" s="53">
        <f>MAX(G104:G105)</f>
        <v>0</v>
      </c>
      <c r="I104" s="37"/>
      <c r="J104" s="37"/>
      <c r="K104" s="37"/>
    </row>
    <row r="105" spans="1:11" x14ac:dyDescent="0.15">
      <c r="A105" s="20">
        <v>0</v>
      </c>
      <c r="B105" s="20">
        <v>0</v>
      </c>
      <c r="C105" s="21">
        <f t="shared" ref="C105" si="47">B105-A105</f>
        <v>0</v>
      </c>
      <c r="D105" s="6">
        <v>1.2999999999999999E-2</v>
      </c>
      <c r="F105" s="22">
        <f t="shared" si="45"/>
        <v>0</v>
      </c>
      <c r="G105" s="10">
        <f t="shared" si="46"/>
        <v>0</v>
      </c>
      <c r="H105" s="54"/>
      <c r="I105" s="37"/>
      <c r="J105" s="37"/>
      <c r="K105" s="37"/>
    </row>
    <row r="106" spans="1:11" x14ac:dyDescent="0.15">
      <c r="A106" s="28"/>
      <c r="B106" s="28"/>
      <c r="C106" s="29"/>
      <c r="D106" s="30"/>
      <c r="F106" s="31"/>
      <c r="G106" s="26"/>
      <c r="H106" s="26"/>
      <c r="I106" s="26"/>
      <c r="J106" s="26"/>
      <c r="K106" s="26"/>
    </row>
    <row r="107" spans="1:11" x14ac:dyDescent="0.15">
      <c r="A107" s="45"/>
      <c r="B107" s="45"/>
      <c r="C107" s="45"/>
      <c r="D107" s="45"/>
    </row>
    <row r="108" spans="1:11" x14ac:dyDescent="0.15">
      <c r="A108" s="46" t="s">
        <v>2</v>
      </c>
      <c r="B108" s="46"/>
      <c r="C108" s="46"/>
      <c r="D108" s="46"/>
    </row>
    <row r="109" spans="1:11" x14ac:dyDescent="0.15">
      <c r="A109" s="45" t="s">
        <v>1</v>
      </c>
      <c r="B109" s="45"/>
      <c r="C109" s="45"/>
      <c r="D109" s="45"/>
    </row>
  </sheetData>
  <mergeCells count="152">
    <mergeCell ref="I1:I2"/>
    <mergeCell ref="G102:G103"/>
    <mergeCell ref="H102:H103"/>
    <mergeCell ref="I84:K85"/>
    <mergeCell ref="I88:K89"/>
    <mergeCell ref="I90:K91"/>
    <mergeCell ref="I96:K97"/>
    <mergeCell ref="I98:K99"/>
    <mergeCell ref="I102:K103"/>
    <mergeCell ref="I72:K73"/>
    <mergeCell ref="I76:K77"/>
    <mergeCell ref="H66:H67"/>
    <mergeCell ref="G70:G71"/>
    <mergeCell ref="H70:H71"/>
    <mergeCell ref="I60:K61"/>
    <mergeCell ref="I64:K65"/>
    <mergeCell ref="I66:K67"/>
    <mergeCell ref="I70:K71"/>
    <mergeCell ref="H72:H73"/>
    <mergeCell ref="G76:G77"/>
    <mergeCell ref="H76:H77"/>
    <mergeCell ref="H54:H55"/>
    <mergeCell ref="G58:G59"/>
    <mergeCell ref="H58:H59"/>
    <mergeCell ref="F4:J4"/>
    <mergeCell ref="F3:J3"/>
    <mergeCell ref="H104:H105"/>
    <mergeCell ref="H90:H91"/>
    <mergeCell ref="G96:G97"/>
    <mergeCell ref="H96:H97"/>
    <mergeCell ref="H98:H99"/>
    <mergeCell ref="I104:K105"/>
    <mergeCell ref="H78:H79"/>
    <mergeCell ref="G82:G83"/>
    <mergeCell ref="H82:H83"/>
    <mergeCell ref="I78:K79"/>
    <mergeCell ref="I82:K83"/>
    <mergeCell ref="H84:H85"/>
    <mergeCell ref="G88:G89"/>
    <mergeCell ref="H88:H89"/>
    <mergeCell ref="H46:H47"/>
    <mergeCell ref="G52:G53"/>
    <mergeCell ref="H52:H53"/>
    <mergeCell ref="I46:K47"/>
    <mergeCell ref="I52:K53"/>
    <mergeCell ref="I54:K55"/>
    <mergeCell ref="I58:K59"/>
    <mergeCell ref="H60:H61"/>
    <mergeCell ref="G64:G65"/>
    <mergeCell ref="H64:H65"/>
    <mergeCell ref="G32:G33"/>
    <mergeCell ref="H32:H33"/>
    <mergeCell ref="I32:K33"/>
    <mergeCell ref="H34:H35"/>
    <mergeCell ref="G38:G39"/>
    <mergeCell ref="H38:H39"/>
    <mergeCell ref="H40:H41"/>
    <mergeCell ref="G44:G45"/>
    <mergeCell ref="H44:H45"/>
    <mergeCell ref="I34:K35"/>
    <mergeCell ref="I38:K39"/>
    <mergeCell ref="I40:K41"/>
    <mergeCell ref="I44:K45"/>
    <mergeCell ref="A107:D107"/>
    <mergeCell ref="A108:D108"/>
    <mergeCell ref="A109:D109"/>
    <mergeCell ref="A3:D3"/>
    <mergeCell ref="A4:D4"/>
    <mergeCell ref="A8:A9"/>
    <mergeCell ref="C8:C9"/>
    <mergeCell ref="A20:A21"/>
    <mergeCell ref="C20:C21"/>
    <mergeCell ref="D20:D21"/>
    <mergeCell ref="A26:A27"/>
    <mergeCell ref="C26:C27"/>
    <mergeCell ref="D26:D27"/>
    <mergeCell ref="A32:A33"/>
    <mergeCell ref="C32:C33"/>
    <mergeCell ref="D32:D33"/>
    <mergeCell ref="A38:A39"/>
    <mergeCell ref="C38:C39"/>
    <mergeCell ref="A44:A45"/>
    <mergeCell ref="C44:C45"/>
    <mergeCell ref="D38:D39"/>
    <mergeCell ref="D52:D53"/>
    <mergeCell ref="A52:A53"/>
    <mergeCell ref="C52:C53"/>
    <mergeCell ref="D82:D83"/>
    <mergeCell ref="A82:A83"/>
    <mergeCell ref="C82:C83"/>
    <mergeCell ref="A76:A77"/>
    <mergeCell ref="C76:C77"/>
    <mergeCell ref="D76:D77"/>
    <mergeCell ref="A14:A15"/>
    <mergeCell ref="C14:C15"/>
    <mergeCell ref="D14:D15"/>
    <mergeCell ref="A58:A59"/>
    <mergeCell ref="C58:C59"/>
    <mergeCell ref="A70:A71"/>
    <mergeCell ref="C70:C71"/>
    <mergeCell ref="D70:D71"/>
    <mergeCell ref="A64:A65"/>
    <mergeCell ref="C64:C65"/>
    <mergeCell ref="D64:D65"/>
    <mergeCell ref="D58:D59"/>
    <mergeCell ref="D44:D45"/>
    <mergeCell ref="B26:B27"/>
    <mergeCell ref="B32:B33"/>
    <mergeCell ref="B38:B39"/>
    <mergeCell ref="B44:B45"/>
    <mergeCell ref="B52:B53"/>
    <mergeCell ref="D102:D103"/>
    <mergeCell ref="A102:A103"/>
    <mergeCell ref="C102:C103"/>
    <mergeCell ref="A96:A97"/>
    <mergeCell ref="C96:C97"/>
    <mergeCell ref="D96:D97"/>
    <mergeCell ref="A88:A89"/>
    <mergeCell ref="C88:C89"/>
    <mergeCell ref="D88:D89"/>
    <mergeCell ref="I8:K9"/>
    <mergeCell ref="I10:K11"/>
    <mergeCell ref="I14:K15"/>
    <mergeCell ref="I16:K17"/>
    <mergeCell ref="I20:K21"/>
    <mergeCell ref="I22:K23"/>
    <mergeCell ref="I26:K27"/>
    <mergeCell ref="I28:K29"/>
    <mergeCell ref="D8:D9"/>
    <mergeCell ref="H20:H21"/>
    <mergeCell ref="G20:G21"/>
    <mergeCell ref="H16:H17"/>
    <mergeCell ref="H8:H9"/>
    <mergeCell ref="G8:G9"/>
    <mergeCell ref="H14:H15"/>
    <mergeCell ref="G14:G15"/>
    <mergeCell ref="H10:H11"/>
    <mergeCell ref="H22:H23"/>
    <mergeCell ref="G26:G27"/>
    <mergeCell ref="H26:H27"/>
    <mergeCell ref="H28:H29"/>
    <mergeCell ref="B58:B59"/>
    <mergeCell ref="B64:B65"/>
    <mergeCell ref="B70:B71"/>
    <mergeCell ref="B76:B77"/>
    <mergeCell ref="B82:B83"/>
    <mergeCell ref="B88:B89"/>
    <mergeCell ref="B96:B97"/>
    <mergeCell ref="B102:B103"/>
    <mergeCell ref="B8:B9"/>
    <mergeCell ref="B14:B15"/>
    <mergeCell ref="B20:B21"/>
  </mergeCells>
  <phoneticPr fontId="7" type="noConversion"/>
  <conditionalFormatting sqref="G10:G11">
    <cfRule type="cellIs" dxfId="127" priority="613" operator="lessThan">
      <formula>$G$6/100</formula>
    </cfRule>
    <cfRule type="cellIs" dxfId="126" priority="614" operator="greaterThanOrEqual">
      <formula>$G$6/100</formula>
    </cfRule>
  </conditionalFormatting>
  <conditionalFormatting sqref="J2:K2">
    <cfRule type="cellIs" dxfId="63" priority="425" operator="lessThan">
      <formula>0.0005</formula>
    </cfRule>
    <cfRule type="cellIs" dxfId="62" priority="42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16:G17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16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22:G23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22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28:G29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28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34:G35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34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40:G41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40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46:G47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46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54:G55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54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60:G61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60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66:G67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66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72:G73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72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78:G79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78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84:G85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84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90:G91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90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98:G99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98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104:G105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104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JY Z</cp:lastModifiedBy>
  <cp:lastPrinted>2024-04-23T07:12:32Z</cp:lastPrinted>
  <dcterms:created xsi:type="dcterms:W3CDTF">2022-12-06T12:02:00Z</dcterms:created>
  <dcterms:modified xsi:type="dcterms:W3CDTF">2024-04-25T05:20:42Z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