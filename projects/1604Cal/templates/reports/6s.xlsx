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Calibration result" sheetId="16" r:id="rId1"/>
  </sheets>
  <definedNames>
    <definedName name="_xlnm.Print_Titles" localSheetId="0">'Calibration result'!$1:$4</definedName>
    <definedName name="单位">'Calibration result'!$K$5</definedName>
    <definedName name="量程最大值">'Calibration result'!$K$6</definedName>
    <definedName name="量程最小值">'Calibration result'!$I$6</definedName>
    <definedName name="通道1">'Calibration result'!$A$10</definedName>
    <definedName name="通道10">'Calibration result'!$A$108</definedName>
    <definedName name="通道11">'Calibration result'!$A$118</definedName>
    <definedName name="通道12">'Calibration result'!$A$128</definedName>
    <definedName name="通道13">'Calibration result'!$A$142</definedName>
    <definedName name="通道14">'Calibration result'!$A$152</definedName>
    <definedName name="通道15">'Calibration result'!$A$162</definedName>
    <definedName name="通道16">'Calibration result'!$A$172</definedName>
    <definedName name="通道2">'Calibration result'!$A$20</definedName>
    <definedName name="通道3">'Calibration result'!$A$30</definedName>
    <definedName name="通道4">'Calibration result'!$A$40</definedName>
    <definedName name="通道5">'Calibration result'!$A$54</definedName>
    <definedName name="通道6">'Calibration result'!$A$64</definedName>
    <definedName name="通道7">'Calibration result'!$A$74</definedName>
    <definedName name="通道8">'Calibration result'!$A$84</definedName>
    <definedName name="通道9">'Calibration result'!$A$98</definedName>
    <definedName name="校准日期">'Calibration result'!$I$5</definedName>
    <definedName name="准确度等级">'Calibration result'!$G$6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7" i="16" l="1"/>
  <c r="F177" i="16"/>
  <c r="G176" i="16"/>
  <c r="F176" i="16"/>
  <c r="G175" i="16"/>
  <c r="F175" i="16"/>
  <c r="G174" i="16"/>
  <c r="F174" i="16"/>
  <c r="G173" i="16"/>
  <c r="H172" i="16" s="1"/>
  <c r="F173" i="16"/>
  <c r="G172" i="16"/>
  <c r="F172" i="16"/>
  <c r="F171" i="16"/>
  <c r="G169" i="16"/>
  <c r="G167" i="16"/>
  <c r="F167" i="16"/>
  <c r="G166" i="16"/>
  <c r="F166" i="16"/>
  <c r="G165" i="16"/>
  <c r="F165" i="16"/>
  <c r="G164" i="16"/>
  <c r="F164" i="16"/>
  <c r="G163" i="16"/>
  <c r="F163" i="16"/>
  <c r="G162" i="16"/>
  <c r="H162" i="16" s="1"/>
  <c r="F162" i="16"/>
  <c r="F161" i="16"/>
  <c r="G159" i="16"/>
  <c r="G157" i="16"/>
  <c r="F157" i="16"/>
  <c r="G156" i="16"/>
  <c r="F156" i="16"/>
  <c r="G155" i="16"/>
  <c r="F155" i="16"/>
  <c r="G154" i="16"/>
  <c r="F154" i="16"/>
  <c r="G153" i="16"/>
  <c r="F153" i="16"/>
  <c r="G152" i="16"/>
  <c r="H152" i="16" s="1"/>
  <c r="F152" i="16"/>
  <c r="F151" i="16"/>
  <c r="G149" i="16"/>
  <c r="G147" i="16"/>
  <c r="F147" i="16"/>
  <c r="G146" i="16"/>
  <c r="F146" i="16"/>
  <c r="G145" i="16"/>
  <c r="F145" i="16"/>
  <c r="G144" i="16"/>
  <c r="F144" i="16"/>
  <c r="G143" i="16"/>
  <c r="F143" i="16"/>
  <c r="G142" i="16"/>
  <c r="H142" i="16" s="1"/>
  <c r="F142" i="16"/>
  <c r="F141" i="16"/>
  <c r="G139" i="16"/>
  <c r="G133" i="16"/>
  <c r="F133" i="16"/>
  <c r="G132" i="16"/>
  <c r="F132" i="16"/>
  <c r="G131" i="16"/>
  <c r="F131" i="16"/>
  <c r="G130" i="16"/>
  <c r="F130" i="16"/>
  <c r="G129" i="16"/>
  <c r="F129" i="16"/>
  <c r="G128" i="16"/>
  <c r="H128" i="16" s="1"/>
  <c r="F128" i="16"/>
  <c r="F127" i="16"/>
  <c r="G125" i="16"/>
  <c r="G123" i="16"/>
  <c r="F123" i="16"/>
  <c r="G122" i="16"/>
  <c r="F122" i="16"/>
  <c r="G121" i="16"/>
  <c r="F121" i="16"/>
  <c r="G120" i="16"/>
  <c r="F120" i="16"/>
  <c r="G119" i="16"/>
  <c r="F119" i="16"/>
  <c r="G118" i="16"/>
  <c r="H118" i="16" s="1"/>
  <c r="F118" i="16"/>
  <c r="F117" i="16"/>
  <c r="G115" i="16"/>
  <c r="G113" i="16"/>
  <c r="F113" i="16"/>
  <c r="G112" i="16"/>
  <c r="F112" i="16"/>
  <c r="G111" i="16"/>
  <c r="F111" i="16"/>
  <c r="G110" i="16"/>
  <c r="F110" i="16"/>
  <c r="G109" i="16"/>
  <c r="F109" i="16"/>
  <c r="G108" i="16"/>
  <c r="H108" i="16" s="1"/>
  <c r="F108" i="16"/>
  <c r="F107" i="16"/>
  <c r="G105" i="16"/>
  <c r="G103" i="16"/>
  <c r="F103" i="16"/>
  <c r="G102" i="16"/>
  <c r="F102" i="16"/>
  <c r="G101" i="16"/>
  <c r="F101" i="16"/>
  <c r="G100" i="16"/>
  <c r="F100" i="16"/>
  <c r="G99" i="16"/>
  <c r="F99" i="16"/>
  <c r="G98" i="16"/>
  <c r="H98" i="16" s="1"/>
  <c r="F98" i="16"/>
  <c r="F97" i="16"/>
  <c r="G95" i="16"/>
  <c r="G89" i="16"/>
  <c r="F89" i="16"/>
  <c r="G88" i="16"/>
  <c r="F88" i="16"/>
  <c r="G87" i="16"/>
  <c r="F87" i="16"/>
  <c r="G86" i="16"/>
  <c r="F86" i="16"/>
  <c r="G85" i="16"/>
  <c r="F85" i="16"/>
  <c r="G84" i="16"/>
  <c r="H84" i="16" s="1"/>
  <c r="F84" i="16"/>
  <c r="F83" i="16"/>
  <c r="G81" i="16"/>
  <c r="G79" i="16"/>
  <c r="F79" i="16"/>
  <c r="G78" i="16"/>
  <c r="F78" i="16"/>
  <c r="G77" i="16"/>
  <c r="F77" i="16"/>
  <c r="G76" i="16"/>
  <c r="F76" i="16"/>
  <c r="G75" i="16"/>
  <c r="F75" i="16"/>
  <c r="G74" i="16"/>
  <c r="H74" i="16" s="1"/>
  <c r="F74" i="16"/>
  <c r="F73" i="16"/>
  <c r="G71" i="16"/>
  <c r="G69" i="16"/>
  <c r="F69" i="16"/>
  <c r="G68" i="16"/>
  <c r="F68" i="16"/>
  <c r="G67" i="16"/>
  <c r="F67" i="16"/>
  <c r="G66" i="16"/>
  <c r="F66" i="16"/>
  <c r="G65" i="16"/>
  <c r="F65" i="16"/>
  <c r="G64" i="16"/>
  <c r="H64" i="16" s="1"/>
  <c r="F64" i="16"/>
  <c r="F63" i="16"/>
  <c r="G61" i="16"/>
  <c r="G59" i="16"/>
  <c r="F59" i="16"/>
  <c r="G58" i="16"/>
  <c r="F58" i="16"/>
  <c r="G57" i="16"/>
  <c r="F57" i="16"/>
  <c r="G56" i="16"/>
  <c r="F56" i="16"/>
  <c r="G55" i="16"/>
  <c r="F55" i="16"/>
  <c r="G54" i="16"/>
  <c r="H54" i="16" s="1"/>
  <c r="F54" i="16"/>
  <c r="F53" i="16"/>
  <c r="G51" i="16"/>
  <c r="G45" i="16"/>
  <c r="F45" i="16"/>
  <c r="G44" i="16"/>
  <c r="F44" i="16"/>
  <c r="G43" i="16"/>
  <c r="F43" i="16"/>
  <c r="G42" i="16"/>
  <c r="F42" i="16"/>
  <c r="G41" i="16"/>
  <c r="F41" i="16"/>
  <c r="G40" i="16"/>
  <c r="H40" i="16" s="1"/>
  <c r="F40" i="16"/>
  <c r="F39" i="16"/>
  <c r="G37" i="16"/>
  <c r="G35" i="16"/>
  <c r="F35" i="16"/>
  <c r="G34" i="16"/>
  <c r="F34" i="16"/>
  <c r="G33" i="16"/>
  <c r="F33" i="16"/>
  <c r="G32" i="16"/>
  <c r="F32" i="16"/>
  <c r="G31" i="16"/>
  <c r="F31" i="16"/>
  <c r="G30" i="16"/>
  <c r="H30" i="16" s="1"/>
  <c r="F30" i="16"/>
  <c r="F29" i="16"/>
  <c r="G27" i="16"/>
  <c r="G25" i="16"/>
  <c r="F25" i="16"/>
  <c r="G24" i="16"/>
  <c r="F24" i="16"/>
  <c r="G23" i="16"/>
  <c r="F23" i="16"/>
  <c r="G22" i="16"/>
  <c r="F22" i="16"/>
  <c r="G21" i="16"/>
  <c r="F21" i="16"/>
  <c r="G20" i="16"/>
  <c r="H20" i="16" s="1"/>
  <c r="F20" i="16"/>
  <c r="F19" i="16"/>
  <c r="G17" i="16"/>
  <c r="D169" i="16"/>
  <c r="D159" i="16"/>
  <c r="D149" i="16"/>
  <c r="D139" i="16"/>
  <c r="D125" i="16"/>
  <c r="D115" i="16"/>
  <c r="D105" i="16"/>
  <c r="D95" i="16"/>
  <c r="D81" i="16"/>
  <c r="D71" i="16"/>
  <c r="D61" i="16"/>
  <c r="D51" i="16"/>
  <c r="D37" i="16"/>
  <c r="D27" i="16"/>
  <c r="D17" i="16"/>
  <c r="D7" i="16"/>
  <c r="C177" i="16" l="1"/>
  <c r="C176" i="16"/>
  <c r="C175" i="16"/>
  <c r="C174" i="16"/>
  <c r="C173" i="16"/>
  <c r="C172" i="16"/>
  <c r="C167" i="16"/>
  <c r="C166" i="16"/>
  <c r="C165" i="16"/>
  <c r="C164" i="16"/>
  <c r="C163" i="16"/>
  <c r="C162" i="16"/>
  <c r="C157" i="16"/>
  <c r="C156" i="16"/>
  <c r="C155" i="16"/>
  <c r="C154" i="16"/>
  <c r="C153" i="16"/>
  <c r="C152" i="16"/>
  <c r="C147" i="16"/>
  <c r="C146" i="16"/>
  <c r="C145" i="16"/>
  <c r="C144" i="16"/>
  <c r="C143" i="16"/>
  <c r="C142" i="16"/>
  <c r="C133" i="16"/>
  <c r="C132" i="16"/>
  <c r="C131" i="16"/>
  <c r="C130" i="16"/>
  <c r="C129" i="16"/>
  <c r="C128" i="16"/>
  <c r="C123" i="16"/>
  <c r="C122" i="16"/>
  <c r="C121" i="16"/>
  <c r="C120" i="16"/>
  <c r="C119" i="16"/>
  <c r="C118" i="16"/>
  <c r="C113" i="16"/>
  <c r="C112" i="16"/>
  <c r="C111" i="16"/>
  <c r="C110" i="16"/>
  <c r="C109" i="16"/>
  <c r="C108" i="16"/>
  <c r="C103" i="16"/>
  <c r="C102" i="16"/>
  <c r="C101" i="16"/>
  <c r="C100" i="16"/>
  <c r="C99" i="16"/>
  <c r="C98" i="16"/>
  <c r="C89" i="16"/>
  <c r="C88" i="16"/>
  <c r="C87" i="16"/>
  <c r="C86" i="16"/>
  <c r="C85" i="16"/>
  <c r="C84" i="16"/>
  <c r="C79" i="16"/>
  <c r="C78" i="16"/>
  <c r="C77" i="16"/>
  <c r="C76" i="16"/>
  <c r="C75" i="16"/>
  <c r="C74" i="16"/>
  <c r="C69" i="16"/>
  <c r="C68" i="16"/>
  <c r="C67" i="16"/>
  <c r="C66" i="16"/>
  <c r="C65" i="16"/>
  <c r="C64" i="16"/>
  <c r="C59" i="16"/>
  <c r="C58" i="16"/>
  <c r="C57" i="16"/>
  <c r="C56" i="16"/>
  <c r="C55" i="16"/>
  <c r="C54" i="16"/>
  <c r="C45" i="16"/>
  <c r="C44" i="16"/>
  <c r="C43" i="16"/>
  <c r="C42" i="16"/>
  <c r="C41" i="16"/>
  <c r="C40" i="16"/>
  <c r="C35" i="16"/>
  <c r="C34" i="16"/>
  <c r="C33" i="16"/>
  <c r="C32" i="16"/>
  <c r="C31" i="16"/>
  <c r="C30" i="16"/>
  <c r="C25" i="16"/>
  <c r="C24" i="16"/>
  <c r="C23" i="16"/>
  <c r="C22" i="16"/>
  <c r="C21" i="16"/>
  <c r="C20" i="16"/>
  <c r="C11" i="16"/>
  <c r="C12" i="16"/>
  <c r="C13" i="16"/>
  <c r="C14" i="16"/>
  <c r="C15" i="16"/>
  <c r="C10" i="16"/>
  <c r="F9" i="16"/>
  <c r="F11" i="16" l="1"/>
  <c r="F12" i="16"/>
  <c r="F13" i="16"/>
  <c r="F14" i="16"/>
  <c r="F15" i="16"/>
  <c r="F10" i="16"/>
  <c r="G7" i="16"/>
  <c r="G15" i="16" l="1"/>
  <c r="G14" i="16"/>
  <c r="G13" i="16"/>
  <c r="G12" i="16"/>
  <c r="G11" i="16"/>
  <c r="G10" i="16"/>
  <c r="H10" i="16" l="1"/>
</calcChain>
</file>

<file path=xl/sharedStrings.xml><?xml version="1.0" encoding="utf-8"?>
<sst xmlns="http://schemas.openxmlformats.org/spreadsheetml/2006/main" count="210" uniqueCount="44">
  <si>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</si>
  <si>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</si>
  <si>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</si>
  <si>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7" type="noConversion"/>
  </si>
  <si>
    <t>CH1</t>
    <phoneticPr fontId="7" type="noConversion"/>
  </si>
  <si>
    <t>CH2</t>
    <phoneticPr fontId="7" type="noConversion"/>
  </si>
  <si>
    <t>CH3</t>
    <phoneticPr fontId="7" type="noConversion"/>
  </si>
  <si>
    <t>CH4</t>
    <phoneticPr fontId="7" type="noConversion"/>
  </si>
  <si>
    <t>CH5</t>
    <phoneticPr fontId="7" type="noConversion"/>
  </si>
  <si>
    <t>CH6</t>
    <phoneticPr fontId="7" type="noConversion"/>
  </si>
  <si>
    <t>CH7</t>
    <phoneticPr fontId="7" type="noConversion"/>
  </si>
  <si>
    <t>CH8</t>
    <phoneticPr fontId="7" type="noConversion"/>
  </si>
  <si>
    <t>CH9</t>
    <phoneticPr fontId="7" type="noConversion"/>
  </si>
  <si>
    <t>CH10</t>
    <phoneticPr fontId="7" type="noConversion"/>
  </si>
  <si>
    <t>CH11</t>
    <phoneticPr fontId="7" type="noConversion"/>
  </si>
  <si>
    <t>CH12</t>
    <phoneticPr fontId="7" type="noConversion"/>
  </si>
  <si>
    <t>CH13</t>
    <phoneticPr fontId="7" type="noConversion"/>
  </si>
  <si>
    <t>CH14</t>
    <phoneticPr fontId="7" type="noConversion"/>
  </si>
  <si>
    <t>CH15</t>
    <phoneticPr fontId="7" type="noConversion"/>
  </si>
  <si>
    <t>CH16</t>
    <phoneticPr fontId="7" type="noConversion"/>
  </si>
  <si>
    <t>校准结果</t>
    <phoneticPr fontId="7" type="noConversion"/>
  </si>
  <si>
    <t>结果分析</t>
    <phoneticPr fontId="7" type="noConversion"/>
  </si>
  <si>
    <t>单位：</t>
    <phoneticPr fontId="7" type="noConversion"/>
  </si>
  <si>
    <t>max</t>
    <phoneticPr fontId="7" type="noConversion"/>
  </si>
  <si>
    <t>psi</t>
    <phoneticPr fontId="7" type="noConversion"/>
  </si>
  <si>
    <t>Results analysis</t>
    <phoneticPr fontId="7" type="noConversion"/>
  </si>
  <si>
    <t>证书编号：</t>
    <phoneticPr fontId="7" type="noConversion"/>
  </si>
  <si>
    <t>Certificate No.</t>
    <phoneticPr fontId="7" type="noConversion"/>
  </si>
  <si>
    <t>Example</t>
    <phoneticPr fontId="7" type="noConversion"/>
  </si>
  <si>
    <t>Unqualified</t>
    <phoneticPr fontId="7" type="noConversion"/>
  </si>
  <si>
    <t>Qualified</t>
    <phoneticPr fontId="7" type="noConversion"/>
  </si>
  <si>
    <t>Unit</t>
    <phoneticPr fontId="7" type="noConversion"/>
  </si>
  <si>
    <t>Equipment Number</t>
    <phoneticPr fontId="7" type="noConversion"/>
  </si>
  <si>
    <t>Calibration Date</t>
    <phoneticPr fontId="7" type="noConversion"/>
  </si>
  <si>
    <t>Accuracy</t>
    <phoneticPr fontId="7" type="noConversion"/>
  </si>
  <si>
    <t>Min(Range)</t>
    <phoneticPr fontId="7" type="noConversion"/>
  </si>
  <si>
    <t>Max(Range)</t>
    <phoneticPr fontId="7" type="noConversion"/>
  </si>
  <si>
    <t>Notes</t>
  </si>
  <si>
    <t>Channel number</t>
  </si>
  <si>
    <t>Unit</t>
    <phoneticPr fontId="7" type="noConversion"/>
  </si>
  <si>
    <t>Device display value</t>
  </si>
  <si>
    <t>Indication error</t>
  </si>
  <si>
    <t>Standard pressure</t>
  </si>
  <si>
    <t>丨Indication error丨
/FS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</si>
</sst>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0_ "/>
    <numFmt numFmtId="178" formatCode="0.000%"/>
    <numFmt numFmtId="179" formatCode="0.0000"/>
  </numFmts>
  <fonts count="1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2" fillId="0" borderId="0"/>
    <xf numFmtId="0" fontId="1" fillId="0" borderId="0"/>
    <xf numFmtId="9" fontId="15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5" fillId="0" borderId="0" xfId="2" applyFont="1">
      <alignment vertical="center"/>
    </xf>
    <xf numFmtId="0" fontId="3" fillId="0" borderId="0" xfId="2" applyFont="1" applyAlignment="1">
      <alignment horizontal="center" vertical="center"/>
    </xf>
    <xf numFmtId="0" fontId="5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177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6" fillId="0" borderId="4" xfId="2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0" fontId="4" fillId="0" borderId="0" xfId="2" applyFont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0" fontId="5" fillId="0" borderId="1" xfId="2" applyFont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 vertical="center" wrapText="1"/>
      <protection locked="0"/>
    </xf>
    <xf numFmtId="0" fontId="10" fillId="0" borderId="1" xfId="2" applyFont="1" applyBorder="1" applyAlignment="1">
      <alignment horizontal="center" vertical="center" wrapText="1"/>
    </xf>
    <xf numFmtId="31" fontId="10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17" fillId="0" borderId="1" xfId="2" applyFont="1" applyBorder="1" applyAlignment="1" applyProtection="1">
      <alignment horizontal="center" vertical="center" wrapText="1"/>
      <protection locked="0"/>
    </xf>
    <xf numFmtId="179" fontId="3" fillId="0" borderId="1" xfId="0" applyNumberFormat="1" applyFont="1" applyBorder="1" applyAlignment="1">
      <alignment horizontal="center" vertical="center"/>
    </xf>
    <xf numFmtId="179" fontId="5" fillId="0" borderId="1" xfId="2" applyNumberFormat="1" applyFont="1" applyBorder="1" applyAlignment="1" applyProtection="1">
      <alignment horizontal="center" vertical="center" wrapText="1"/>
      <protection locked="0"/>
    </xf>
    <xf numFmtId="179" fontId="5" fillId="0" borderId="1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Alignment="1">
      <alignment horizontal="right" vertical="center"/>
    </xf>
    <xf numFmtId="0" fontId="5" fillId="0" borderId="0" xfId="2" applyFont="1" applyAlignment="1">
      <alignment horizontal="right" vertical="center"/>
    </xf>
    <xf numFmtId="0" fontId="5" fillId="0" borderId="4" xfId="2" applyFont="1" applyBorder="1" applyAlignment="1" applyProtection="1">
      <alignment horizontal="left" vertical="center" wrapText="1"/>
      <protection locked="0"/>
    </xf>
    <xf numFmtId="178" fontId="5" fillId="0" borderId="0" xfId="5" applyNumberFormat="1" applyFont="1" applyBorder="1" applyAlignment="1" applyProtection="1">
      <alignment horizontal="center" vertical="center"/>
      <protection locked="0"/>
    </xf>
    <xf numFmtId="0" fontId="16" fillId="0" borderId="0" xfId="2" applyFont="1" applyAlignment="1" applyProtection="1">
      <alignment horizontal="center" vertical="center" wrapText="1"/>
      <protection locked="0"/>
    </xf>
    <xf numFmtId="179" fontId="3" fillId="0" borderId="0" xfId="0" applyNumberFormat="1" applyFont="1" applyAlignment="1">
      <alignment horizontal="center" vertical="center"/>
    </xf>
    <xf numFmtId="179" fontId="5" fillId="0" borderId="0" xfId="2" applyNumberFormat="1" applyFont="1" applyAlignment="1" applyProtection="1">
      <alignment horizontal="center" vertical="center" wrapText="1"/>
      <protection locked="0"/>
    </xf>
    <xf numFmtId="177" fontId="5" fillId="2" borderId="0" xfId="2" applyNumberFormat="1" applyFont="1" applyFill="1" applyAlignment="1" applyProtection="1">
      <alignment horizontal="center" vertical="center" wrapText="1"/>
      <protection locked="0"/>
    </xf>
    <xf numFmtId="179" fontId="5" fillId="0" borderId="0" xfId="2" applyNumberFormat="1" applyFont="1" applyAlignment="1" applyProtection="1">
      <alignment horizontal="center" vertical="center"/>
      <protection locked="0"/>
    </xf>
    <xf numFmtId="176" fontId="5" fillId="0" borderId="3" xfId="2" applyNumberFormat="1" applyFont="1" applyBorder="1" applyAlignment="1" applyProtection="1">
      <alignment horizontal="center" vertical="center"/>
      <protection locked="0"/>
    </xf>
    <xf numFmtId="176" fontId="10" fillId="0" borderId="2" xfId="2" applyNumberFormat="1" applyFont="1" applyBorder="1" applyAlignment="1" applyProtection="1">
      <alignment horizontal="center" vertical="center"/>
      <protection locked="0"/>
    </xf>
    <xf numFmtId="0" fontId="10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10" fillId="0" borderId="5" xfId="2" applyNumberFormat="1" applyFont="1" applyBorder="1" applyAlignment="1" applyProtection="1">
      <alignment horizontal="center" vertical="center" wrapText="1"/>
      <protection locked="0"/>
    </xf>
    <xf numFmtId="176" fontId="10" fillId="0" borderId="1" xfId="2" applyNumberFormat="1" applyFont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/>
      <protection locked="0"/>
    </xf>
    <xf numFmtId="178" fontId="5" fillId="0" borderId="1" xfId="5" applyNumberFormat="1" applyFont="1" applyBorder="1" applyAlignment="1" applyProtection="1">
      <alignment horizontal="center" vertical="center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178" fontId="5" fillId="0" borderId="2" xfId="5" applyNumberFormat="1" applyFont="1" applyBorder="1" applyAlignment="1" applyProtection="1">
      <alignment horizontal="center" vertical="center"/>
      <protection locked="0"/>
    </xf>
    <xf numFmtId="178" fontId="5" fillId="0" borderId="6" xfId="5" applyNumberFormat="1" applyFont="1" applyBorder="1" applyAlignment="1" applyProtection="1">
      <alignment horizontal="center" vertical="center"/>
      <protection locked="0"/>
    </xf>
    <xf numFmtId="178" fontId="5" fillId="0" borderId="3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6" fillId="2" borderId="2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5" fillId="0" borderId="1" xfId="2" applyNumberFormat="1" applyFont="1" applyBorder="1" applyAlignment="1" applyProtection="1">
      <alignment horizontal="center" vertical="center" wrapText="1"/>
      <protection locked="0"/>
    </xf>
    <xf numFmtId="0" fontId="5" fillId="2" borderId="1" xfId="2" applyFont="1" applyFill="1" applyBorder="1" applyAlignment="1" applyProtection="1">
      <alignment horizontal="center" vertical="center" wrapText="1"/>
      <protection locked="0"/>
    </xf>
    <xf numFmtId="176" fontId="6" fillId="0" borderId="3" xfId="2" applyNumberFormat="1" applyFont="1" applyBorder="1" applyAlignment="1" applyProtection="1">
      <alignment horizontal="center" vertical="center" wrapText="1"/>
      <protection locked="0"/>
    </xf>
    <xf numFmtId="176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2" applyFont="1" applyAlignment="1" applyProtection="1">
      <alignment horizontal="center" vertical="center" wrapText="1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857250</xdr:colOff>
      <xdr:row>177</xdr:row>
      <xdr:rowOff>180975</xdr:rowOff>
    </xdr:from>
    <xdr:to>
      <xdr:col>2</xdr:col>
      <xdr:colOff>895350</xdr:colOff>
      <xdr:row>177</xdr:row>
      <xdr:rowOff>180975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466975" y="34118550"/>
          <a:ext cx="1647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0"/>
  <sheetViews>
    <sheetView tabSelected="1" topLeftCell="B1" workbookViewId="0">
      <selection activeCell="F8" sqref="F8"/>
    </sheetView>
  </sheetViews>
  <sheetFormatPr defaultColWidth="9" defaultRowHeight="15" x14ac:dyDescent="0.15"/>
  <cols>
    <col min="1" max="4" width="21.125" style="1" customWidth="1"/>
    <col min="5" max="5" width="4" style="1" customWidth="1"/>
    <col min="6" max="6" width="14.375" style="1" customWidth="1"/>
    <col min="7" max="7" width="13.625" style="1" customWidth="1"/>
    <col min="8" max="8" width="13.125" style="1" customWidth="1"/>
    <col min="9" max="9" width="13.25" style="1" customWidth="1"/>
    <col min="10" max="10" width="14.25" style="1" customWidth="1"/>
    <col min="11" max="11" width="13.5" style="1" customWidth="1"/>
    <col min="12" max="12" width="7.625" style="1" customWidth="1"/>
    <col min="13" max="16384" width="9" style="1"/>
  </cols>
  <sheetData>
    <row r="1" spans="1:12" ht="26.45" customHeight="1" x14ac:dyDescent="0.15">
      <c r="C1" s="23" t="s">
        <v>26</v>
      </c>
      <c r="D1" s="18"/>
      <c r="I1" s="34" t="s">
        <v>28</v>
      </c>
      <c r="J1" s="15" t="s">
        <v>29</v>
      </c>
      <c r="K1" s="15" t="s">
        <v>30</v>
      </c>
    </row>
    <row r="2" spans="1:12" ht="15" customHeight="1" x14ac:dyDescent="0.15">
      <c r="C2" s="24" t="s">
        <v>27</v>
      </c>
      <c r="I2" s="35"/>
      <c r="J2" s="10">
        <v>5.4000000000000001E-4</v>
      </c>
      <c r="K2" s="10">
        <v>1E-4</v>
      </c>
    </row>
    <row r="3" spans="1:12" ht="23.1" customHeight="1" x14ac:dyDescent="0.15">
      <c r="A3" s="45" t="s">
        <v>20</v>
      </c>
      <c r="B3" s="47"/>
      <c r="C3" s="47"/>
      <c r="D3" s="47"/>
      <c r="F3" s="45" t="s">
        <v>21</v>
      </c>
      <c r="G3" s="45"/>
      <c r="H3" s="45"/>
      <c r="I3" s="45"/>
      <c r="J3" s="45"/>
      <c r="K3" s="11"/>
      <c r="L3" s="11"/>
    </row>
    <row r="4" spans="1:12" ht="11.1" customHeight="1" x14ac:dyDescent="0.15">
      <c r="A4" s="48" t="s">
        <v>0</v>
      </c>
      <c r="B4" s="48"/>
      <c r="C4" s="48"/>
      <c r="D4" s="48"/>
      <c r="F4" s="44" t="s">
        <v>25</v>
      </c>
      <c r="G4" s="44"/>
      <c r="H4" s="44"/>
      <c r="I4" s="44"/>
      <c r="J4" s="44"/>
    </row>
    <row r="5" spans="1:12" ht="39.75" customHeight="1" x14ac:dyDescent="0.15">
      <c r="A5" s="2"/>
      <c r="B5" s="2"/>
      <c r="C5" s="2"/>
      <c r="D5" s="2"/>
      <c r="F5" s="19" t="s">
        <v>32</v>
      </c>
      <c r="G5" s="17"/>
      <c r="H5" s="19" t="s">
        <v>33</v>
      </c>
      <c r="I5" s="16"/>
      <c r="J5" s="19" t="s">
        <v>31</v>
      </c>
      <c r="K5" s="17" t="s">
        <v>24</v>
      </c>
    </row>
    <row r="6" spans="1:12" s="4" customFormat="1" ht="15" customHeight="1" x14ac:dyDescent="0.15">
      <c r="A6" s="5"/>
      <c r="B6" s="5"/>
      <c r="C6" s="5"/>
      <c r="D6" s="5"/>
      <c r="F6" s="19" t="s">
        <v>34</v>
      </c>
      <c r="G6" s="13">
        <v>0.05</v>
      </c>
      <c r="H6" s="19" t="s">
        <v>35</v>
      </c>
      <c r="I6" s="12">
        <v>0</v>
      </c>
      <c r="J6" s="19" t="s">
        <v>36</v>
      </c>
      <c r="K6" s="13">
        <v>100</v>
      </c>
    </row>
    <row r="7" spans="1:12" s="4" customFormat="1" ht="32.25" customHeight="1" x14ac:dyDescent="0.15">
      <c r="A7" s="7" t="s">
        <v>38</v>
      </c>
      <c r="B7" s="25" t="s">
        <v>4</v>
      </c>
      <c r="C7" s="27" t="s">
        <v>39</v>
      </c>
      <c r="D7" s="18" t="str">
        <f>$K$5</f>
        <v>psi</v>
      </c>
      <c r="F7" s="56" t="s">
        <v>38</v>
      </c>
      <c r="G7" s="9" t="str">
        <f>B7</f>
        <v>CH1</v>
      </c>
      <c r="I7" s="8"/>
      <c r="J7" s="3"/>
      <c r="K7" s="9"/>
    </row>
    <row r="8" spans="1:12" s="4" customFormat="1" ht="15" customHeight="1" x14ac:dyDescent="0.15">
      <c r="A8" s="49" t="s">
        <v>42</v>
      </c>
      <c r="B8" s="49" t="s">
        <v>40</v>
      </c>
      <c r="C8" s="51" t="s">
        <v>41</v>
      </c>
      <c r="D8" s="55" t="s">
        <v>3</v>
      </c>
      <c r="F8" s="33" t="s">
        <v>42</v>
      </c>
      <c r="G8" s="36" t="s">
        <v>43</v>
      </c>
      <c r="H8" s="38" t="s">
        <v>23</v>
      </c>
      <c r="I8" s="40" t="s">
        <v>37</v>
      </c>
      <c r="J8" s="40"/>
      <c r="K8" s="40"/>
    </row>
    <row r="9" spans="1:12" s="4" customFormat="1" x14ac:dyDescent="0.15">
      <c r="A9" s="50"/>
      <c r="B9" s="50"/>
      <c r="C9" s="52"/>
      <c r="D9" s="55"/>
      <c r="F9" s="32" t="str">
        <f>"（"&amp;$K$5&amp;"）"</f>
        <v>（psi）</v>
      </c>
      <c r="G9" s="37"/>
      <c r="H9" s="38"/>
      <c r="I9" s="40"/>
      <c r="J9" s="40"/>
      <c r="K9" s="40"/>
    </row>
    <row r="10" spans="1:12" s="4" customFormat="1" x14ac:dyDescent="0.15">
      <c r="A10" s="20">
        <v>0</v>
      </c>
      <c r="B10" s="20">
        <v>0</v>
      </c>
      <c r="C10" s="21">
        <f>B10-A10</f>
        <v>0</v>
      </c>
      <c r="D10" s="6">
        <v>1.2999999999999999E-2</v>
      </c>
      <c r="F10" s="22">
        <f t="shared" ref="F10:F15" si="0">A10</f>
        <v>0</v>
      </c>
      <c r="G10" s="10">
        <f t="shared" ref="G10:G15" si="1">ABS(C10)/($K$6-$I$6)</f>
        <v>0</v>
      </c>
      <c r="H10" s="41">
        <f>MAX(G10:G15)</f>
        <v>0</v>
      </c>
      <c r="I10" s="39"/>
      <c r="J10" s="39"/>
      <c r="K10" s="39"/>
    </row>
    <row r="11" spans="1:12" s="4" customFormat="1" x14ac:dyDescent="0.15">
      <c r="A11" s="20">
        <v>0</v>
      </c>
      <c r="B11" s="20">
        <v>0</v>
      </c>
      <c r="C11" s="21">
        <f t="shared" ref="C11:C15" si="2">B11-A11</f>
        <v>0</v>
      </c>
      <c r="D11" s="6">
        <v>1.2999999999999999E-2</v>
      </c>
      <c r="F11" s="22">
        <f t="shared" si="0"/>
        <v>0</v>
      </c>
      <c r="G11" s="10">
        <f t="shared" si="1"/>
        <v>0</v>
      </c>
      <c r="H11" s="42"/>
      <c r="I11" s="39"/>
      <c r="J11" s="39"/>
      <c r="K11" s="39"/>
    </row>
    <row r="12" spans="1:12" s="4" customFormat="1" x14ac:dyDescent="0.15">
      <c r="A12" s="20">
        <v>0</v>
      </c>
      <c r="B12" s="20">
        <v>0</v>
      </c>
      <c r="C12" s="21">
        <f t="shared" si="2"/>
        <v>0</v>
      </c>
      <c r="D12" s="6">
        <v>1.2999999999999999E-2</v>
      </c>
      <c r="F12" s="22">
        <f t="shared" si="0"/>
        <v>0</v>
      </c>
      <c r="G12" s="10">
        <f t="shared" si="1"/>
        <v>0</v>
      </c>
      <c r="H12" s="42"/>
      <c r="I12" s="39"/>
      <c r="J12" s="39"/>
      <c r="K12" s="39"/>
    </row>
    <row r="13" spans="1:12" s="4" customFormat="1" x14ac:dyDescent="0.15">
      <c r="A13" s="20">
        <v>0</v>
      </c>
      <c r="B13" s="20">
        <v>0</v>
      </c>
      <c r="C13" s="21">
        <f t="shared" si="2"/>
        <v>0</v>
      </c>
      <c r="D13" s="6">
        <v>1.2999999999999999E-2</v>
      </c>
      <c r="F13" s="22">
        <f t="shared" si="0"/>
        <v>0</v>
      </c>
      <c r="G13" s="10">
        <f t="shared" si="1"/>
        <v>0</v>
      </c>
      <c r="H13" s="42"/>
      <c r="I13" s="39"/>
      <c r="J13" s="39"/>
      <c r="K13" s="39"/>
    </row>
    <row r="14" spans="1:12" s="4" customFormat="1" x14ac:dyDescent="0.15">
      <c r="A14" s="20">
        <v>0</v>
      </c>
      <c r="B14" s="20">
        <v>0</v>
      </c>
      <c r="C14" s="21">
        <f t="shared" si="2"/>
        <v>0</v>
      </c>
      <c r="D14" s="6">
        <v>1.2999999999999999E-2</v>
      </c>
      <c r="F14" s="22">
        <f t="shared" si="0"/>
        <v>0</v>
      </c>
      <c r="G14" s="10">
        <f t="shared" si="1"/>
        <v>0</v>
      </c>
      <c r="H14" s="42"/>
      <c r="I14" s="39"/>
      <c r="J14" s="39"/>
      <c r="K14" s="39"/>
    </row>
    <row r="15" spans="1:12" s="4" customFormat="1" x14ac:dyDescent="0.15">
      <c r="A15" s="20">
        <v>0</v>
      </c>
      <c r="B15" s="20">
        <v>0</v>
      </c>
      <c r="C15" s="21">
        <f t="shared" si="2"/>
        <v>0</v>
      </c>
      <c r="D15" s="6">
        <v>1.2999999999999999E-2</v>
      </c>
      <c r="F15" s="22">
        <f t="shared" si="0"/>
        <v>0</v>
      </c>
      <c r="G15" s="10">
        <f t="shared" si="1"/>
        <v>0</v>
      </c>
      <c r="H15" s="43"/>
      <c r="I15" s="39"/>
      <c r="J15" s="39"/>
      <c r="K15" s="39"/>
    </row>
    <row r="16" spans="1:12" s="4" customFormat="1" x14ac:dyDescent="0.15">
      <c r="A16" s="28"/>
      <c r="B16" s="28"/>
      <c r="C16" s="29"/>
      <c r="D16" s="30"/>
      <c r="F16" s="31"/>
      <c r="G16" s="26"/>
      <c r="H16" s="26"/>
      <c r="I16" s="26"/>
      <c r="J16" s="26"/>
      <c r="K16" s="26"/>
    </row>
    <row r="17" spans="1:11" x14ac:dyDescent="0.15">
      <c r="A17" s="7" t="s">
        <v>38</v>
      </c>
      <c r="B17" s="25" t="s">
        <v>5</v>
      </c>
      <c r="C17" s="8" t="s">
        <v>22</v>
      </c>
      <c r="D17" s="18" t="str">
        <f>$K$5</f>
        <v>psi</v>
      </c>
      <c r="F17" s="14" t="s">
        <v>38</v>
      </c>
      <c r="G17" s="9" t="str">
        <f>B17</f>
        <v>CH2</v>
      </c>
      <c r="H17" s="4"/>
      <c r="I17" s="8"/>
      <c r="J17" s="3"/>
      <c r="K17" s="9"/>
    </row>
    <row r="18" spans="1:11" ht="15" customHeight="1" x14ac:dyDescent="0.15">
      <c r="A18" s="50" t="s">
        <v>42</v>
      </c>
      <c r="B18" s="49" t="s">
        <v>40</v>
      </c>
      <c r="C18" s="54" t="s">
        <v>41</v>
      </c>
      <c r="D18" s="55" t="s">
        <v>3</v>
      </c>
      <c r="F18" s="33" t="s">
        <v>42</v>
      </c>
      <c r="G18" s="36" t="s">
        <v>43</v>
      </c>
      <c r="H18" s="38" t="s">
        <v>23</v>
      </c>
      <c r="I18" s="40" t="s">
        <v>37</v>
      </c>
      <c r="J18" s="40"/>
      <c r="K18" s="40"/>
    </row>
    <row r="19" spans="1:11" x14ac:dyDescent="0.15">
      <c r="A19" s="53"/>
      <c r="B19" s="50"/>
      <c r="C19" s="52"/>
      <c r="D19" s="55"/>
      <c r="F19" s="32" t="str">
        <f>"（"&amp;$K$5&amp;"）"</f>
        <v>（psi）</v>
      </c>
      <c r="G19" s="37"/>
      <c r="H19" s="38"/>
      <c r="I19" s="40"/>
      <c r="J19" s="40"/>
      <c r="K19" s="40"/>
    </row>
    <row r="20" spans="1:11" x14ac:dyDescent="0.15">
      <c r="A20" s="20">
        <v>0</v>
      </c>
      <c r="B20" s="20">
        <v>0</v>
      </c>
      <c r="C20" s="21">
        <f>B20-A20</f>
        <v>0</v>
      </c>
      <c r="D20" s="6">
        <v>1.2999999999999999E-2</v>
      </c>
      <c r="F20" s="22">
        <f t="shared" ref="F20:F25" si="3">A20</f>
        <v>0</v>
      </c>
      <c r="G20" s="10">
        <f t="shared" ref="G20:G25" si="4">ABS(C20)/($K$6-$I$6)</f>
        <v>0</v>
      </c>
      <c r="H20" s="41">
        <f>MAX(G20:G25)</f>
        <v>0</v>
      </c>
      <c r="I20" s="39"/>
      <c r="J20" s="39"/>
      <c r="K20" s="39"/>
    </row>
    <row r="21" spans="1:11" x14ac:dyDescent="0.15">
      <c r="A21" s="20">
        <v>0</v>
      </c>
      <c r="B21" s="20">
        <v>0</v>
      </c>
      <c r="C21" s="21">
        <f t="shared" ref="C21:C25" si="5">B21-A21</f>
        <v>0</v>
      </c>
      <c r="D21" s="6">
        <v>1.2999999999999999E-2</v>
      </c>
      <c r="F21" s="22">
        <f t="shared" si="3"/>
        <v>0</v>
      </c>
      <c r="G21" s="10">
        <f t="shared" si="4"/>
        <v>0</v>
      </c>
      <c r="H21" s="42"/>
      <c r="I21" s="39"/>
      <c r="J21" s="39"/>
      <c r="K21" s="39"/>
    </row>
    <row r="22" spans="1:11" x14ac:dyDescent="0.15">
      <c r="A22" s="20">
        <v>0</v>
      </c>
      <c r="B22" s="20">
        <v>0</v>
      </c>
      <c r="C22" s="21">
        <f t="shared" si="5"/>
        <v>0</v>
      </c>
      <c r="D22" s="6">
        <v>1.2999999999999999E-2</v>
      </c>
      <c r="F22" s="22">
        <f t="shared" si="3"/>
        <v>0</v>
      </c>
      <c r="G22" s="10">
        <f t="shared" si="4"/>
        <v>0</v>
      </c>
      <c r="H22" s="42"/>
      <c r="I22" s="39"/>
      <c r="J22" s="39"/>
      <c r="K22" s="39"/>
    </row>
    <row r="23" spans="1:11" x14ac:dyDescent="0.15">
      <c r="A23" s="20">
        <v>0</v>
      </c>
      <c r="B23" s="20">
        <v>0</v>
      </c>
      <c r="C23" s="21">
        <f t="shared" si="5"/>
        <v>0</v>
      </c>
      <c r="D23" s="6">
        <v>1.2999999999999999E-2</v>
      </c>
      <c r="F23" s="22">
        <f t="shared" si="3"/>
        <v>0</v>
      </c>
      <c r="G23" s="10">
        <f t="shared" si="4"/>
        <v>0</v>
      </c>
      <c r="H23" s="42"/>
      <c r="I23" s="39"/>
      <c r="J23" s="39"/>
      <c r="K23" s="39"/>
    </row>
    <row r="24" spans="1:11" x14ac:dyDescent="0.15">
      <c r="A24" s="20">
        <v>0</v>
      </c>
      <c r="B24" s="20">
        <v>0</v>
      </c>
      <c r="C24" s="21">
        <f t="shared" si="5"/>
        <v>0</v>
      </c>
      <c r="D24" s="6">
        <v>1.2999999999999999E-2</v>
      </c>
      <c r="F24" s="22">
        <f t="shared" si="3"/>
        <v>0</v>
      </c>
      <c r="G24" s="10">
        <f t="shared" si="4"/>
        <v>0</v>
      </c>
      <c r="H24" s="42"/>
      <c r="I24" s="39"/>
      <c r="J24" s="39"/>
      <c r="K24" s="39"/>
    </row>
    <row r="25" spans="1:11" x14ac:dyDescent="0.15">
      <c r="A25" s="20">
        <v>0</v>
      </c>
      <c r="B25" s="20">
        <v>0</v>
      </c>
      <c r="C25" s="21">
        <f t="shared" si="5"/>
        <v>0</v>
      </c>
      <c r="D25" s="6">
        <v>1.2999999999999999E-2</v>
      </c>
      <c r="F25" s="22">
        <f t="shared" si="3"/>
        <v>0</v>
      </c>
      <c r="G25" s="10">
        <f t="shared" si="4"/>
        <v>0</v>
      </c>
      <c r="H25" s="43"/>
      <c r="I25" s="39"/>
      <c r="J25" s="39"/>
      <c r="K25" s="39"/>
    </row>
    <row r="26" spans="1:11" x14ac:dyDescent="0.15">
      <c r="A26" s="28"/>
      <c r="B26" s="28"/>
      <c r="C26" s="29"/>
      <c r="D26" s="30"/>
      <c r="F26" s="31"/>
      <c r="G26" s="26"/>
      <c r="H26" s="26"/>
      <c r="I26" s="26"/>
      <c r="J26" s="26"/>
      <c r="K26" s="26"/>
    </row>
    <row r="27" spans="1:11" x14ac:dyDescent="0.15">
      <c r="A27" s="7" t="s">
        <v>38</v>
      </c>
      <c r="B27" s="25" t="s">
        <v>6</v>
      </c>
      <c r="C27" s="8" t="s">
        <v>22</v>
      </c>
      <c r="D27" s="18" t="str">
        <f>$K$5</f>
        <v>psi</v>
      </c>
      <c r="F27" s="14" t="s">
        <v>38</v>
      </c>
      <c r="G27" s="9" t="str">
        <f>B27</f>
        <v>CH3</v>
      </c>
      <c r="H27" s="4"/>
      <c r="I27" s="8"/>
      <c r="J27" s="3"/>
      <c r="K27" s="9"/>
    </row>
    <row r="28" spans="1:11" ht="15" customHeight="1" x14ac:dyDescent="0.15">
      <c r="A28" s="50" t="s">
        <v>42</v>
      </c>
      <c r="B28" s="49" t="s">
        <v>40</v>
      </c>
      <c r="C28" s="54" t="s">
        <v>41</v>
      </c>
      <c r="D28" s="55" t="s">
        <v>3</v>
      </c>
      <c r="F28" s="33" t="s">
        <v>42</v>
      </c>
      <c r="G28" s="36" t="s">
        <v>43</v>
      </c>
      <c r="H28" s="38" t="s">
        <v>23</v>
      </c>
      <c r="I28" s="40" t="s">
        <v>37</v>
      </c>
      <c r="J28" s="40"/>
      <c r="K28" s="40"/>
    </row>
    <row r="29" spans="1:11" x14ac:dyDescent="0.15">
      <c r="A29" s="53"/>
      <c r="B29" s="50"/>
      <c r="C29" s="52"/>
      <c r="D29" s="55"/>
      <c r="F29" s="32" t="str">
        <f>"（"&amp;$K$5&amp;"）"</f>
        <v>（psi）</v>
      </c>
      <c r="G29" s="37"/>
      <c r="H29" s="38"/>
      <c r="I29" s="40"/>
      <c r="J29" s="40"/>
      <c r="K29" s="40"/>
    </row>
    <row r="30" spans="1:11" x14ac:dyDescent="0.15">
      <c r="A30" s="20">
        <v>0</v>
      </c>
      <c r="B30" s="20">
        <v>0</v>
      </c>
      <c r="C30" s="21">
        <f>B30-A30</f>
        <v>0</v>
      </c>
      <c r="D30" s="6">
        <v>1.2999999999999999E-2</v>
      </c>
      <c r="F30" s="22">
        <f t="shared" ref="F30:F35" si="6">A30</f>
        <v>0</v>
      </c>
      <c r="G30" s="10">
        <f t="shared" ref="G30:G35" si="7">ABS(C30)/($K$6-$I$6)</f>
        <v>0</v>
      </c>
      <c r="H30" s="41">
        <f>MAX(G30:G35)</f>
        <v>0</v>
      </c>
      <c r="I30" s="39"/>
      <c r="J30" s="39"/>
      <c r="K30" s="39"/>
    </row>
    <row r="31" spans="1:11" x14ac:dyDescent="0.15">
      <c r="A31" s="20">
        <v>0</v>
      </c>
      <c r="B31" s="20">
        <v>0</v>
      </c>
      <c r="C31" s="21">
        <f t="shared" ref="C31:C35" si="8">B31-A31</f>
        <v>0</v>
      </c>
      <c r="D31" s="6">
        <v>1.2999999999999999E-2</v>
      </c>
      <c r="F31" s="22">
        <f t="shared" si="6"/>
        <v>0</v>
      </c>
      <c r="G31" s="10">
        <f t="shared" si="7"/>
        <v>0</v>
      </c>
      <c r="H31" s="42"/>
      <c r="I31" s="39"/>
      <c r="J31" s="39"/>
      <c r="K31" s="39"/>
    </row>
    <row r="32" spans="1:11" x14ac:dyDescent="0.15">
      <c r="A32" s="20">
        <v>0</v>
      </c>
      <c r="B32" s="20">
        <v>0</v>
      </c>
      <c r="C32" s="21">
        <f t="shared" si="8"/>
        <v>0</v>
      </c>
      <c r="D32" s="6">
        <v>1.2999999999999999E-2</v>
      </c>
      <c r="F32" s="22">
        <f t="shared" si="6"/>
        <v>0</v>
      </c>
      <c r="G32" s="10">
        <f t="shared" si="7"/>
        <v>0</v>
      </c>
      <c r="H32" s="42"/>
      <c r="I32" s="39"/>
      <c r="J32" s="39"/>
      <c r="K32" s="39"/>
    </row>
    <row r="33" spans="1:11" x14ac:dyDescent="0.15">
      <c r="A33" s="20">
        <v>0</v>
      </c>
      <c r="B33" s="20">
        <v>0</v>
      </c>
      <c r="C33" s="21">
        <f t="shared" si="8"/>
        <v>0</v>
      </c>
      <c r="D33" s="6">
        <v>1.2999999999999999E-2</v>
      </c>
      <c r="F33" s="22">
        <f t="shared" si="6"/>
        <v>0</v>
      </c>
      <c r="G33" s="10">
        <f t="shared" si="7"/>
        <v>0</v>
      </c>
      <c r="H33" s="42"/>
      <c r="I33" s="39"/>
      <c r="J33" s="39"/>
      <c r="K33" s="39"/>
    </row>
    <row r="34" spans="1:11" x14ac:dyDescent="0.15">
      <c r="A34" s="20">
        <v>0</v>
      </c>
      <c r="B34" s="20">
        <v>0</v>
      </c>
      <c r="C34" s="21">
        <f t="shared" si="8"/>
        <v>0</v>
      </c>
      <c r="D34" s="6">
        <v>1.2999999999999999E-2</v>
      </c>
      <c r="F34" s="22">
        <f t="shared" si="6"/>
        <v>0</v>
      </c>
      <c r="G34" s="10">
        <f t="shared" si="7"/>
        <v>0</v>
      </c>
      <c r="H34" s="42"/>
      <c r="I34" s="39"/>
      <c r="J34" s="39"/>
      <c r="K34" s="39"/>
    </row>
    <row r="35" spans="1:11" x14ac:dyDescent="0.15">
      <c r="A35" s="20">
        <v>0</v>
      </c>
      <c r="B35" s="20">
        <v>0</v>
      </c>
      <c r="C35" s="21">
        <f t="shared" si="8"/>
        <v>0</v>
      </c>
      <c r="D35" s="6">
        <v>1.2999999999999999E-2</v>
      </c>
      <c r="F35" s="22">
        <f t="shared" si="6"/>
        <v>0</v>
      </c>
      <c r="G35" s="10">
        <f t="shared" si="7"/>
        <v>0</v>
      </c>
      <c r="H35" s="43"/>
      <c r="I35" s="39"/>
      <c r="J35" s="39"/>
      <c r="K35" s="39"/>
    </row>
    <row r="36" spans="1:11" x14ac:dyDescent="0.15">
      <c r="A36" s="28"/>
      <c r="B36" s="28"/>
      <c r="C36" s="29"/>
      <c r="D36" s="30"/>
      <c r="F36" s="31"/>
      <c r="G36" s="26"/>
      <c r="H36" s="26"/>
      <c r="I36" s="26"/>
      <c r="J36" s="26"/>
      <c r="K36" s="26"/>
    </row>
    <row r="37" spans="1:11" x14ac:dyDescent="0.15">
      <c r="A37" s="7" t="s">
        <v>38</v>
      </c>
      <c r="B37" s="25" t="s">
        <v>7</v>
      </c>
      <c r="C37" s="8" t="s">
        <v>22</v>
      </c>
      <c r="D37" s="18" t="str">
        <f>$K$5</f>
        <v>psi</v>
      </c>
      <c r="F37" s="14" t="s">
        <v>38</v>
      </c>
      <c r="G37" s="9" t="str">
        <f>B37</f>
        <v>CH4</v>
      </c>
      <c r="H37" s="4"/>
      <c r="I37" s="8"/>
      <c r="J37" s="3"/>
      <c r="K37" s="9"/>
    </row>
    <row r="38" spans="1:11" ht="15" customHeight="1" x14ac:dyDescent="0.15">
      <c r="A38" s="50" t="s">
        <v>42</v>
      </c>
      <c r="B38" s="49" t="s">
        <v>40</v>
      </c>
      <c r="C38" s="54" t="s">
        <v>41</v>
      </c>
      <c r="D38" s="55" t="s">
        <v>3</v>
      </c>
      <c r="F38" s="33" t="s">
        <v>42</v>
      </c>
      <c r="G38" s="36" t="s">
        <v>43</v>
      </c>
      <c r="H38" s="38" t="s">
        <v>23</v>
      </c>
      <c r="I38" s="40" t="s">
        <v>37</v>
      </c>
      <c r="J38" s="40"/>
      <c r="K38" s="40"/>
    </row>
    <row r="39" spans="1:11" x14ac:dyDescent="0.15">
      <c r="A39" s="53"/>
      <c r="B39" s="50"/>
      <c r="C39" s="52"/>
      <c r="D39" s="55"/>
      <c r="F39" s="32" t="str">
        <f>"（"&amp;$K$5&amp;"）"</f>
        <v>（psi）</v>
      </c>
      <c r="G39" s="37"/>
      <c r="H39" s="38"/>
      <c r="I39" s="40"/>
      <c r="J39" s="40"/>
      <c r="K39" s="40"/>
    </row>
    <row r="40" spans="1:11" x14ac:dyDescent="0.15">
      <c r="A40" s="20">
        <v>0</v>
      </c>
      <c r="B40" s="20">
        <v>0</v>
      </c>
      <c r="C40" s="21">
        <f>B40-A40</f>
        <v>0</v>
      </c>
      <c r="D40" s="6">
        <v>1.2999999999999999E-2</v>
      </c>
      <c r="F40" s="22">
        <f t="shared" ref="F40:F45" si="9">A40</f>
        <v>0</v>
      </c>
      <c r="G40" s="10">
        <f t="shared" ref="G40:G45" si="10">ABS(C40)/($K$6-$I$6)</f>
        <v>0</v>
      </c>
      <c r="H40" s="41">
        <f>MAX(G40:G45)</f>
        <v>0</v>
      </c>
      <c r="I40" s="39"/>
      <c r="J40" s="39"/>
      <c r="K40" s="39"/>
    </row>
    <row r="41" spans="1:11" x14ac:dyDescent="0.15">
      <c r="A41" s="20">
        <v>0</v>
      </c>
      <c r="B41" s="20">
        <v>0</v>
      </c>
      <c r="C41" s="21">
        <f t="shared" ref="C41:C45" si="11">B41-A41</f>
        <v>0</v>
      </c>
      <c r="D41" s="6">
        <v>1.2999999999999999E-2</v>
      </c>
      <c r="F41" s="22">
        <f t="shared" si="9"/>
        <v>0</v>
      </c>
      <c r="G41" s="10">
        <f t="shared" si="10"/>
        <v>0</v>
      </c>
      <c r="H41" s="42"/>
      <c r="I41" s="39"/>
      <c r="J41" s="39"/>
      <c r="K41" s="39"/>
    </row>
    <row r="42" spans="1:11" x14ac:dyDescent="0.15">
      <c r="A42" s="20">
        <v>0</v>
      </c>
      <c r="B42" s="20">
        <v>0</v>
      </c>
      <c r="C42" s="21">
        <f t="shared" si="11"/>
        <v>0</v>
      </c>
      <c r="D42" s="6">
        <v>1.2999999999999999E-2</v>
      </c>
      <c r="F42" s="22">
        <f t="shared" si="9"/>
        <v>0</v>
      </c>
      <c r="G42" s="10">
        <f t="shared" si="10"/>
        <v>0</v>
      </c>
      <c r="H42" s="42"/>
      <c r="I42" s="39"/>
      <c r="J42" s="39"/>
      <c r="K42" s="39"/>
    </row>
    <row r="43" spans="1:11" x14ac:dyDescent="0.15">
      <c r="A43" s="20">
        <v>0</v>
      </c>
      <c r="B43" s="20">
        <v>0</v>
      </c>
      <c r="C43" s="21">
        <f t="shared" si="11"/>
        <v>0</v>
      </c>
      <c r="D43" s="6">
        <v>1.2999999999999999E-2</v>
      </c>
      <c r="F43" s="22">
        <f t="shared" si="9"/>
        <v>0</v>
      </c>
      <c r="G43" s="10">
        <f t="shared" si="10"/>
        <v>0</v>
      </c>
      <c r="H43" s="42"/>
      <c r="I43" s="39"/>
      <c r="J43" s="39"/>
      <c r="K43" s="39"/>
    </row>
    <row r="44" spans="1:11" x14ac:dyDescent="0.15">
      <c r="A44" s="20">
        <v>0</v>
      </c>
      <c r="B44" s="20">
        <v>0</v>
      </c>
      <c r="C44" s="21">
        <f t="shared" si="11"/>
        <v>0</v>
      </c>
      <c r="D44" s="6">
        <v>1.2999999999999999E-2</v>
      </c>
      <c r="F44" s="22">
        <f t="shared" si="9"/>
        <v>0</v>
      </c>
      <c r="G44" s="10">
        <f t="shared" si="10"/>
        <v>0</v>
      </c>
      <c r="H44" s="42"/>
      <c r="I44" s="39"/>
      <c r="J44" s="39"/>
      <c r="K44" s="39"/>
    </row>
    <row r="45" spans="1:11" x14ac:dyDescent="0.15">
      <c r="A45" s="20">
        <v>0</v>
      </c>
      <c r="B45" s="20">
        <v>0</v>
      </c>
      <c r="C45" s="21">
        <f t="shared" si="11"/>
        <v>0</v>
      </c>
      <c r="D45" s="6">
        <v>1.2999999999999999E-2</v>
      </c>
      <c r="F45" s="22">
        <f t="shared" si="9"/>
        <v>0</v>
      </c>
      <c r="G45" s="10">
        <f t="shared" si="10"/>
        <v>0</v>
      </c>
      <c r="H45" s="43"/>
      <c r="I45" s="39"/>
      <c r="J45" s="39"/>
      <c r="K45" s="39"/>
    </row>
    <row r="46" spans="1:11" x14ac:dyDescent="0.15">
      <c r="A46" s="28"/>
      <c r="B46" s="28"/>
      <c r="C46" s="29"/>
      <c r="D46" s="30"/>
      <c r="F46" s="31"/>
      <c r="G46" s="26"/>
      <c r="H46" s="26"/>
      <c r="I46" s="26"/>
      <c r="J46" s="26"/>
      <c r="K46" s="26"/>
    </row>
    <row r="47" spans="1:11" x14ac:dyDescent="0.15">
      <c r="A47" s="28"/>
      <c r="B47" s="28"/>
      <c r="C47" s="29"/>
      <c r="D47" s="30"/>
      <c r="F47" s="31"/>
      <c r="G47" s="26"/>
      <c r="H47" s="26"/>
      <c r="I47" s="26"/>
      <c r="J47" s="26"/>
      <c r="K47" s="26"/>
    </row>
    <row r="48" spans="1:11" x14ac:dyDescent="0.15">
      <c r="A48" s="28"/>
      <c r="B48" s="28"/>
      <c r="C48" s="29"/>
      <c r="D48" s="30"/>
      <c r="F48" s="31"/>
      <c r="G48" s="26"/>
      <c r="H48" s="26"/>
      <c r="I48" s="26"/>
      <c r="J48" s="26"/>
      <c r="K48" s="26"/>
    </row>
    <row r="49" spans="1:11" x14ac:dyDescent="0.15">
      <c r="A49" s="28"/>
      <c r="B49" s="28"/>
      <c r="C49" s="29"/>
      <c r="D49" s="30"/>
      <c r="F49" s="31"/>
      <c r="G49" s="26"/>
      <c r="H49" s="26"/>
      <c r="I49" s="26"/>
      <c r="J49" s="26"/>
      <c r="K49" s="26"/>
    </row>
    <row r="50" spans="1:11" x14ac:dyDescent="0.15">
      <c r="A50" s="28"/>
      <c r="B50" s="28"/>
      <c r="C50" s="29"/>
      <c r="D50" s="30"/>
      <c r="F50" s="31"/>
      <c r="G50" s="26"/>
      <c r="H50" s="26"/>
      <c r="I50" s="26"/>
      <c r="J50" s="26"/>
      <c r="K50" s="26"/>
    </row>
    <row r="51" spans="1:11" x14ac:dyDescent="0.15">
      <c r="A51" s="7" t="s">
        <v>38</v>
      </c>
      <c r="B51" s="25" t="s">
        <v>8</v>
      </c>
      <c r="C51" s="8" t="s">
        <v>22</v>
      </c>
      <c r="D51" s="18" t="str">
        <f>$K$5</f>
        <v>psi</v>
      </c>
      <c r="F51" s="14" t="s">
        <v>38</v>
      </c>
      <c r="G51" s="9" t="str">
        <f>B51</f>
        <v>CH5</v>
      </c>
      <c r="H51" s="4"/>
      <c r="I51" s="8"/>
      <c r="J51" s="3"/>
      <c r="K51" s="9"/>
    </row>
    <row r="52" spans="1:11" ht="15" customHeight="1" x14ac:dyDescent="0.15">
      <c r="A52" s="50" t="s">
        <v>42</v>
      </c>
      <c r="B52" s="49" t="s">
        <v>40</v>
      </c>
      <c r="C52" s="54" t="s">
        <v>41</v>
      </c>
      <c r="D52" s="55" t="s">
        <v>3</v>
      </c>
      <c r="F52" s="33" t="s">
        <v>42</v>
      </c>
      <c r="G52" s="36" t="s">
        <v>43</v>
      </c>
      <c r="H52" s="38" t="s">
        <v>23</v>
      </c>
      <c r="I52" s="40" t="s">
        <v>37</v>
      </c>
      <c r="J52" s="40"/>
      <c r="K52" s="40"/>
    </row>
    <row r="53" spans="1:11" x14ac:dyDescent="0.15">
      <c r="A53" s="53"/>
      <c r="B53" s="50"/>
      <c r="C53" s="52"/>
      <c r="D53" s="55"/>
      <c r="F53" s="32" t="str">
        <f>"（"&amp;$K$5&amp;"）"</f>
        <v>（psi）</v>
      </c>
      <c r="G53" s="37"/>
      <c r="H53" s="38"/>
      <c r="I53" s="40"/>
      <c r="J53" s="40"/>
      <c r="K53" s="40"/>
    </row>
    <row r="54" spans="1:11" x14ac:dyDescent="0.15">
      <c r="A54" s="20">
        <v>0</v>
      </c>
      <c r="B54" s="20">
        <v>0</v>
      </c>
      <c r="C54" s="21">
        <f>B54-A54</f>
        <v>0</v>
      </c>
      <c r="D54" s="6">
        <v>1.2999999999999999E-2</v>
      </c>
      <c r="F54" s="22">
        <f t="shared" ref="F54:F59" si="12">A54</f>
        <v>0</v>
      </c>
      <c r="G54" s="10">
        <f t="shared" ref="G54:G59" si="13">ABS(C54)/($K$6-$I$6)</f>
        <v>0</v>
      </c>
      <c r="H54" s="41">
        <f>MAX(G54:G59)</f>
        <v>0</v>
      </c>
      <c r="I54" s="39"/>
      <c r="J54" s="39"/>
      <c r="K54" s="39"/>
    </row>
    <row r="55" spans="1:11" x14ac:dyDescent="0.15">
      <c r="A55" s="20">
        <v>0</v>
      </c>
      <c r="B55" s="20">
        <v>0</v>
      </c>
      <c r="C55" s="21">
        <f t="shared" ref="C55:C59" si="14">B55-A55</f>
        <v>0</v>
      </c>
      <c r="D55" s="6">
        <v>1.2999999999999999E-2</v>
      </c>
      <c r="F55" s="22">
        <f t="shared" si="12"/>
        <v>0</v>
      </c>
      <c r="G55" s="10">
        <f t="shared" si="13"/>
        <v>0</v>
      </c>
      <c r="H55" s="42"/>
      <c r="I55" s="39"/>
      <c r="J55" s="39"/>
      <c r="K55" s="39"/>
    </row>
    <row r="56" spans="1:11" x14ac:dyDescent="0.15">
      <c r="A56" s="20">
        <v>0</v>
      </c>
      <c r="B56" s="20">
        <v>0</v>
      </c>
      <c r="C56" s="21">
        <f t="shared" si="14"/>
        <v>0</v>
      </c>
      <c r="D56" s="6">
        <v>1.2999999999999999E-2</v>
      </c>
      <c r="F56" s="22">
        <f t="shared" si="12"/>
        <v>0</v>
      </c>
      <c r="G56" s="10">
        <f t="shared" si="13"/>
        <v>0</v>
      </c>
      <c r="H56" s="42"/>
      <c r="I56" s="39"/>
      <c r="J56" s="39"/>
      <c r="K56" s="39"/>
    </row>
    <row r="57" spans="1:11" x14ac:dyDescent="0.15">
      <c r="A57" s="20">
        <v>0</v>
      </c>
      <c r="B57" s="20">
        <v>0</v>
      </c>
      <c r="C57" s="21">
        <f t="shared" si="14"/>
        <v>0</v>
      </c>
      <c r="D57" s="6">
        <v>1.2999999999999999E-2</v>
      </c>
      <c r="F57" s="22">
        <f t="shared" si="12"/>
        <v>0</v>
      </c>
      <c r="G57" s="10">
        <f t="shared" si="13"/>
        <v>0</v>
      </c>
      <c r="H57" s="42"/>
      <c r="I57" s="39"/>
      <c r="J57" s="39"/>
      <c r="K57" s="39"/>
    </row>
    <row r="58" spans="1:11" x14ac:dyDescent="0.15">
      <c r="A58" s="20">
        <v>0</v>
      </c>
      <c r="B58" s="20">
        <v>0</v>
      </c>
      <c r="C58" s="21">
        <f t="shared" si="14"/>
        <v>0</v>
      </c>
      <c r="D58" s="6">
        <v>1.2999999999999999E-2</v>
      </c>
      <c r="F58" s="22">
        <f t="shared" si="12"/>
        <v>0</v>
      </c>
      <c r="G58" s="10">
        <f t="shared" si="13"/>
        <v>0</v>
      </c>
      <c r="H58" s="42"/>
      <c r="I58" s="39"/>
      <c r="J58" s="39"/>
      <c r="K58" s="39"/>
    </row>
    <row r="59" spans="1:11" x14ac:dyDescent="0.15">
      <c r="A59" s="20">
        <v>0</v>
      </c>
      <c r="B59" s="20">
        <v>0</v>
      </c>
      <c r="C59" s="21">
        <f t="shared" si="14"/>
        <v>0</v>
      </c>
      <c r="D59" s="6">
        <v>1.2999999999999999E-2</v>
      </c>
      <c r="F59" s="22">
        <f t="shared" si="12"/>
        <v>0</v>
      </c>
      <c r="G59" s="10">
        <f t="shared" si="13"/>
        <v>0</v>
      </c>
      <c r="H59" s="43"/>
      <c r="I59" s="39"/>
      <c r="J59" s="39"/>
      <c r="K59" s="39"/>
    </row>
    <row r="60" spans="1:11" x14ac:dyDescent="0.15">
      <c r="A60" s="28"/>
      <c r="B60" s="28"/>
      <c r="C60" s="29"/>
      <c r="D60" s="30"/>
      <c r="F60" s="31"/>
      <c r="G60" s="26"/>
      <c r="H60" s="26"/>
      <c r="I60" s="26"/>
      <c r="J60" s="26"/>
      <c r="K60" s="26"/>
    </row>
    <row r="61" spans="1:11" x14ac:dyDescent="0.15">
      <c r="A61" s="7" t="s">
        <v>38</v>
      </c>
      <c r="B61" s="25" t="s">
        <v>9</v>
      </c>
      <c r="C61" s="8" t="s">
        <v>22</v>
      </c>
      <c r="D61" s="18" t="str">
        <f>$K$5</f>
        <v>psi</v>
      </c>
      <c r="F61" s="14" t="s">
        <v>38</v>
      </c>
      <c r="G61" s="9" t="str">
        <f>B61</f>
        <v>CH6</v>
      </c>
      <c r="H61" s="4"/>
      <c r="I61" s="8"/>
      <c r="J61" s="3"/>
      <c r="K61" s="9"/>
    </row>
    <row r="62" spans="1:11" ht="15" customHeight="1" x14ac:dyDescent="0.15">
      <c r="A62" s="50" t="s">
        <v>42</v>
      </c>
      <c r="B62" s="49" t="s">
        <v>40</v>
      </c>
      <c r="C62" s="54" t="s">
        <v>41</v>
      </c>
      <c r="D62" s="55" t="s">
        <v>3</v>
      </c>
      <c r="F62" s="33" t="s">
        <v>42</v>
      </c>
      <c r="G62" s="36" t="s">
        <v>43</v>
      </c>
      <c r="H62" s="38" t="s">
        <v>23</v>
      </c>
      <c r="I62" s="40" t="s">
        <v>37</v>
      </c>
      <c r="J62" s="40"/>
      <c r="K62" s="40"/>
    </row>
    <row r="63" spans="1:11" x14ac:dyDescent="0.15">
      <c r="A63" s="53"/>
      <c r="B63" s="50"/>
      <c r="C63" s="52"/>
      <c r="D63" s="55"/>
      <c r="F63" s="32" t="str">
        <f>"（"&amp;$K$5&amp;"）"</f>
        <v>（psi）</v>
      </c>
      <c r="G63" s="37"/>
      <c r="H63" s="38"/>
      <c r="I63" s="40"/>
      <c r="J63" s="40"/>
      <c r="K63" s="40"/>
    </row>
    <row r="64" spans="1:11" x14ac:dyDescent="0.15">
      <c r="A64" s="20">
        <v>0</v>
      </c>
      <c r="B64" s="20">
        <v>0</v>
      </c>
      <c r="C64" s="21">
        <f>B64-A64</f>
        <v>0</v>
      </c>
      <c r="D64" s="6">
        <v>1.2999999999999999E-2</v>
      </c>
      <c r="F64" s="22">
        <f t="shared" ref="F64:F69" si="15">A64</f>
        <v>0</v>
      </c>
      <c r="G64" s="10">
        <f t="shared" ref="G64:G69" si="16">ABS(C64)/($K$6-$I$6)</f>
        <v>0</v>
      </c>
      <c r="H64" s="41">
        <f>MAX(G64:G69)</f>
        <v>0</v>
      </c>
      <c r="I64" s="39"/>
      <c r="J64" s="39"/>
      <c r="K64" s="39"/>
    </row>
    <row r="65" spans="1:11" x14ac:dyDescent="0.15">
      <c r="A65" s="20">
        <v>0</v>
      </c>
      <c r="B65" s="20">
        <v>0</v>
      </c>
      <c r="C65" s="21">
        <f t="shared" ref="C65:C69" si="17">B65-A65</f>
        <v>0</v>
      </c>
      <c r="D65" s="6">
        <v>1.2999999999999999E-2</v>
      </c>
      <c r="F65" s="22">
        <f t="shared" si="15"/>
        <v>0</v>
      </c>
      <c r="G65" s="10">
        <f t="shared" si="16"/>
        <v>0</v>
      </c>
      <c r="H65" s="42"/>
      <c r="I65" s="39"/>
      <c r="J65" s="39"/>
      <c r="K65" s="39"/>
    </row>
    <row r="66" spans="1:11" x14ac:dyDescent="0.15">
      <c r="A66" s="20">
        <v>0</v>
      </c>
      <c r="B66" s="20">
        <v>0</v>
      </c>
      <c r="C66" s="21">
        <f t="shared" si="17"/>
        <v>0</v>
      </c>
      <c r="D66" s="6">
        <v>1.2999999999999999E-2</v>
      </c>
      <c r="F66" s="22">
        <f t="shared" si="15"/>
        <v>0</v>
      </c>
      <c r="G66" s="10">
        <f t="shared" si="16"/>
        <v>0</v>
      </c>
      <c r="H66" s="42"/>
      <c r="I66" s="39"/>
      <c r="J66" s="39"/>
      <c r="K66" s="39"/>
    </row>
    <row r="67" spans="1:11" x14ac:dyDescent="0.15">
      <c r="A67" s="20">
        <v>0</v>
      </c>
      <c r="B67" s="20">
        <v>0</v>
      </c>
      <c r="C67" s="21">
        <f t="shared" si="17"/>
        <v>0</v>
      </c>
      <c r="D67" s="6">
        <v>1.2999999999999999E-2</v>
      </c>
      <c r="F67" s="22">
        <f t="shared" si="15"/>
        <v>0</v>
      </c>
      <c r="G67" s="10">
        <f t="shared" si="16"/>
        <v>0</v>
      </c>
      <c r="H67" s="42"/>
      <c r="I67" s="39"/>
      <c r="J67" s="39"/>
      <c r="K67" s="39"/>
    </row>
    <row r="68" spans="1:11" x14ac:dyDescent="0.15">
      <c r="A68" s="20">
        <v>0</v>
      </c>
      <c r="B68" s="20">
        <v>0</v>
      </c>
      <c r="C68" s="21">
        <f t="shared" si="17"/>
        <v>0</v>
      </c>
      <c r="D68" s="6">
        <v>1.2999999999999999E-2</v>
      </c>
      <c r="F68" s="22">
        <f t="shared" si="15"/>
        <v>0</v>
      </c>
      <c r="G68" s="10">
        <f t="shared" si="16"/>
        <v>0</v>
      </c>
      <c r="H68" s="42"/>
      <c r="I68" s="39"/>
      <c r="J68" s="39"/>
      <c r="K68" s="39"/>
    </row>
    <row r="69" spans="1:11" x14ac:dyDescent="0.15">
      <c r="A69" s="20">
        <v>0</v>
      </c>
      <c r="B69" s="20">
        <v>0</v>
      </c>
      <c r="C69" s="21">
        <f t="shared" si="17"/>
        <v>0</v>
      </c>
      <c r="D69" s="6">
        <v>1.2999999999999999E-2</v>
      </c>
      <c r="F69" s="22">
        <f t="shared" si="15"/>
        <v>0</v>
      </c>
      <c r="G69" s="10">
        <f t="shared" si="16"/>
        <v>0</v>
      </c>
      <c r="H69" s="43"/>
      <c r="I69" s="39"/>
      <c r="J69" s="39"/>
      <c r="K69" s="39"/>
    </row>
    <row r="70" spans="1:11" x14ac:dyDescent="0.15">
      <c r="A70" s="28"/>
      <c r="B70" s="28"/>
      <c r="C70" s="29"/>
      <c r="D70" s="30"/>
      <c r="F70" s="31"/>
      <c r="G70" s="26"/>
      <c r="H70" s="26"/>
      <c r="I70" s="26"/>
      <c r="J70" s="26"/>
      <c r="K70" s="26"/>
    </row>
    <row r="71" spans="1:11" x14ac:dyDescent="0.15">
      <c r="A71" s="7" t="s">
        <v>38</v>
      </c>
      <c r="B71" s="25" t="s">
        <v>10</v>
      </c>
      <c r="C71" s="8" t="s">
        <v>22</v>
      </c>
      <c r="D71" s="18" t="str">
        <f>$K$5</f>
        <v>psi</v>
      </c>
      <c r="F71" s="14" t="s">
        <v>38</v>
      </c>
      <c r="G71" s="9" t="str">
        <f>B71</f>
        <v>CH7</v>
      </c>
      <c r="H71" s="4"/>
      <c r="I71" s="8"/>
      <c r="J71" s="3"/>
      <c r="K71" s="9"/>
    </row>
    <row r="72" spans="1:11" ht="15" customHeight="1" x14ac:dyDescent="0.15">
      <c r="A72" s="50" t="s">
        <v>42</v>
      </c>
      <c r="B72" s="49" t="s">
        <v>40</v>
      </c>
      <c r="C72" s="54" t="s">
        <v>41</v>
      </c>
      <c r="D72" s="55" t="s">
        <v>3</v>
      </c>
      <c r="F72" s="33" t="s">
        <v>42</v>
      </c>
      <c r="G72" s="36" t="s">
        <v>43</v>
      </c>
      <c r="H72" s="38" t="s">
        <v>23</v>
      </c>
      <c r="I72" s="40" t="s">
        <v>37</v>
      </c>
      <c r="J72" s="40"/>
      <c r="K72" s="40"/>
    </row>
    <row r="73" spans="1:11" x14ac:dyDescent="0.15">
      <c r="A73" s="53"/>
      <c r="B73" s="50"/>
      <c r="C73" s="52"/>
      <c r="D73" s="55"/>
      <c r="F73" s="32" t="str">
        <f>"（"&amp;$K$5&amp;"）"</f>
        <v>（psi）</v>
      </c>
      <c r="G73" s="37"/>
      <c r="H73" s="38"/>
      <c r="I73" s="40"/>
      <c r="J73" s="40"/>
      <c r="K73" s="40"/>
    </row>
    <row r="74" spans="1:11" x14ac:dyDescent="0.15">
      <c r="A74" s="20">
        <v>0</v>
      </c>
      <c r="B74" s="20">
        <v>0</v>
      </c>
      <c r="C74" s="21">
        <f>B74-A74</f>
        <v>0</v>
      </c>
      <c r="D74" s="6">
        <v>1.2999999999999999E-2</v>
      </c>
      <c r="F74" s="22">
        <f t="shared" ref="F74:F79" si="18">A74</f>
        <v>0</v>
      </c>
      <c r="G74" s="10">
        <f t="shared" ref="G74:G79" si="19">ABS(C74)/($K$6-$I$6)</f>
        <v>0</v>
      </c>
      <c r="H74" s="41">
        <f>MAX(G74:G79)</f>
        <v>0</v>
      </c>
      <c r="I74" s="39"/>
      <c r="J74" s="39"/>
      <c r="K74" s="39"/>
    </row>
    <row r="75" spans="1:11" x14ac:dyDescent="0.15">
      <c r="A75" s="20">
        <v>0</v>
      </c>
      <c r="B75" s="20">
        <v>0</v>
      </c>
      <c r="C75" s="21">
        <f t="shared" ref="C75:C79" si="20">B75-A75</f>
        <v>0</v>
      </c>
      <c r="D75" s="6">
        <v>1.2999999999999999E-2</v>
      </c>
      <c r="F75" s="22">
        <f t="shared" si="18"/>
        <v>0</v>
      </c>
      <c r="G75" s="10">
        <f t="shared" si="19"/>
        <v>0</v>
      </c>
      <c r="H75" s="42"/>
      <c r="I75" s="39"/>
      <c r="J75" s="39"/>
      <c r="K75" s="39"/>
    </row>
    <row r="76" spans="1:11" x14ac:dyDescent="0.15">
      <c r="A76" s="20">
        <v>0</v>
      </c>
      <c r="B76" s="20">
        <v>0</v>
      </c>
      <c r="C76" s="21">
        <f t="shared" si="20"/>
        <v>0</v>
      </c>
      <c r="D76" s="6">
        <v>1.2999999999999999E-2</v>
      </c>
      <c r="F76" s="22">
        <f t="shared" si="18"/>
        <v>0</v>
      </c>
      <c r="G76" s="10">
        <f t="shared" si="19"/>
        <v>0</v>
      </c>
      <c r="H76" s="42"/>
      <c r="I76" s="39"/>
      <c r="J76" s="39"/>
      <c r="K76" s="39"/>
    </row>
    <row r="77" spans="1:11" x14ac:dyDescent="0.15">
      <c r="A77" s="20">
        <v>0</v>
      </c>
      <c r="B77" s="20">
        <v>0</v>
      </c>
      <c r="C77" s="21">
        <f t="shared" si="20"/>
        <v>0</v>
      </c>
      <c r="D77" s="6">
        <v>1.2999999999999999E-2</v>
      </c>
      <c r="F77" s="22">
        <f t="shared" si="18"/>
        <v>0</v>
      </c>
      <c r="G77" s="10">
        <f t="shared" si="19"/>
        <v>0</v>
      </c>
      <c r="H77" s="42"/>
      <c r="I77" s="39"/>
      <c r="J77" s="39"/>
      <c r="K77" s="39"/>
    </row>
    <row r="78" spans="1:11" x14ac:dyDescent="0.15">
      <c r="A78" s="20">
        <v>0</v>
      </c>
      <c r="B78" s="20">
        <v>0</v>
      </c>
      <c r="C78" s="21">
        <f t="shared" si="20"/>
        <v>0</v>
      </c>
      <c r="D78" s="6">
        <v>1.2999999999999999E-2</v>
      </c>
      <c r="F78" s="22">
        <f t="shared" si="18"/>
        <v>0</v>
      </c>
      <c r="G78" s="10">
        <f t="shared" si="19"/>
        <v>0</v>
      </c>
      <c r="H78" s="42"/>
      <c r="I78" s="39"/>
      <c r="J78" s="39"/>
      <c r="K78" s="39"/>
    </row>
    <row r="79" spans="1:11" x14ac:dyDescent="0.15">
      <c r="A79" s="20">
        <v>0</v>
      </c>
      <c r="B79" s="20">
        <v>0</v>
      </c>
      <c r="C79" s="21">
        <f t="shared" si="20"/>
        <v>0</v>
      </c>
      <c r="D79" s="6">
        <v>1.2999999999999999E-2</v>
      </c>
      <c r="F79" s="22">
        <f t="shared" si="18"/>
        <v>0</v>
      </c>
      <c r="G79" s="10">
        <f t="shared" si="19"/>
        <v>0</v>
      </c>
      <c r="H79" s="43"/>
      <c r="I79" s="39"/>
      <c r="J79" s="39"/>
      <c r="K79" s="39"/>
    </row>
    <row r="80" spans="1:11" x14ac:dyDescent="0.15">
      <c r="A80" s="28"/>
      <c r="B80" s="28"/>
      <c r="C80" s="29"/>
      <c r="D80" s="30"/>
      <c r="F80" s="31"/>
      <c r="G80" s="26"/>
      <c r="H80" s="26"/>
      <c r="I80" s="26"/>
      <c r="J80" s="26"/>
      <c r="K80" s="26"/>
    </row>
    <row r="81" spans="1:11" x14ac:dyDescent="0.15">
      <c r="A81" s="7" t="s">
        <v>38</v>
      </c>
      <c r="B81" s="25" t="s">
        <v>11</v>
      </c>
      <c r="C81" s="8" t="s">
        <v>22</v>
      </c>
      <c r="D81" s="18" t="str">
        <f>$K$5</f>
        <v>psi</v>
      </c>
      <c r="F81" s="14" t="s">
        <v>38</v>
      </c>
      <c r="G81" s="9" t="str">
        <f>B81</f>
        <v>CH8</v>
      </c>
      <c r="H81" s="4"/>
      <c r="I81" s="8"/>
      <c r="J81" s="3"/>
      <c r="K81" s="9"/>
    </row>
    <row r="82" spans="1:11" ht="15" customHeight="1" x14ac:dyDescent="0.15">
      <c r="A82" s="50" t="s">
        <v>42</v>
      </c>
      <c r="B82" s="49" t="s">
        <v>40</v>
      </c>
      <c r="C82" s="54" t="s">
        <v>41</v>
      </c>
      <c r="D82" s="55" t="s">
        <v>3</v>
      </c>
      <c r="F82" s="33" t="s">
        <v>42</v>
      </c>
      <c r="G82" s="36" t="s">
        <v>43</v>
      </c>
      <c r="H82" s="38" t="s">
        <v>23</v>
      </c>
      <c r="I82" s="40" t="s">
        <v>37</v>
      </c>
      <c r="J82" s="40"/>
      <c r="K82" s="40"/>
    </row>
    <row r="83" spans="1:11" x14ac:dyDescent="0.15">
      <c r="A83" s="53"/>
      <c r="B83" s="50"/>
      <c r="C83" s="52"/>
      <c r="D83" s="55"/>
      <c r="F83" s="32" t="str">
        <f>"（"&amp;$K$5&amp;"）"</f>
        <v>（psi）</v>
      </c>
      <c r="G83" s="37"/>
      <c r="H83" s="38"/>
      <c r="I83" s="40"/>
      <c r="J83" s="40"/>
      <c r="K83" s="40"/>
    </row>
    <row r="84" spans="1:11" x14ac:dyDescent="0.15">
      <c r="A84" s="20">
        <v>0</v>
      </c>
      <c r="B84" s="20">
        <v>0</v>
      </c>
      <c r="C84" s="21">
        <f>B84-A84</f>
        <v>0</v>
      </c>
      <c r="D84" s="6">
        <v>1.2999999999999999E-2</v>
      </c>
      <c r="F84" s="22">
        <f t="shared" ref="F84:F89" si="21">A84</f>
        <v>0</v>
      </c>
      <c r="G84" s="10">
        <f t="shared" ref="G84:G89" si="22">ABS(C84)/($K$6-$I$6)</f>
        <v>0</v>
      </c>
      <c r="H84" s="41">
        <f>MAX(G84:G89)</f>
        <v>0</v>
      </c>
      <c r="I84" s="39"/>
      <c r="J84" s="39"/>
      <c r="K84" s="39"/>
    </row>
    <row r="85" spans="1:11" x14ac:dyDescent="0.15">
      <c r="A85" s="20">
        <v>0</v>
      </c>
      <c r="B85" s="20">
        <v>0</v>
      </c>
      <c r="C85" s="21">
        <f t="shared" ref="C85:C89" si="23">B85-A85</f>
        <v>0</v>
      </c>
      <c r="D85" s="6">
        <v>1.2999999999999999E-2</v>
      </c>
      <c r="F85" s="22">
        <f t="shared" si="21"/>
        <v>0</v>
      </c>
      <c r="G85" s="10">
        <f t="shared" si="22"/>
        <v>0</v>
      </c>
      <c r="H85" s="42"/>
      <c r="I85" s="39"/>
      <c r="J85" s="39"/>
      <c r="K85" s="39"/>
    </row>
    <row r="86" spans="1:11" x14ac:dyDescent="0.15">
      <c r="A86" s="20">
        <v>0</v>
      </c>
      <c r="B86" s="20">
        <v>0</v>
      </c>
      <c r="C86" s="21">
        <f t="shared" si="23"/>
        <v>0</v>
      </c>
      <c r="D86" s="6">
        <v>1.2999999999999999E-2</v>
      </c>
      <c r="F86" s="22">
        <f t="shared" si="21"/>
        <v>0</v>
      </c>
      <c r="G86" s="10">
        <f t="shared" si="22"/>
        <v>0</v>
      </c>
      <c r="H86" s="42"/>
      <c r="I86" s="39"/>
      <c r="J86" s="39"/>
      <c r="K86" s="39"/>
    </row>
    <row r="87" spans="1:11" x14ac:dyDescent="0.15">
      <c r="A87" s="20">
        <v>0</v>
      </c>
      <c r="B87" s="20">
        <v>0</v>
      </c>
      <c r="C87" s="21">
        <f t="shared" si="23"/>
        <v>0</v>
      </c>
      <c r="D87" s="6">
        <v>1.2999999999999999E-2</v>
      </c>
      <c r="F87" s="22">
        <f t="shared" si="21"/>
        <v>0</v>
      </c>
      <c r="G87" s="10">
        <f t="shared" si="22"/>
        <v>0</v>
      </c>
      <c r="H87" s="42"/>
      <c r="I87" s="39"/>
      <c r="J87" s="39"/>
      <c r="K87" s="39"/>
    </row>
    <row r="88" spans="1:11" x14ac:dyDescent="0.15">
      <c r="A88" s="20">
        <v>0</v>
      </c>
      <c r="B88" s="20">
        <v>0</v>
      </c>
      <c r="C88" s="21">
        <f t="shared" si="23"/>
        <v>0</v>
      </c>
      <c r="D88" s="6">
        <v>1.2999999999999999E-2</v>
      </c>
      <c r="F88" s="22">
        <f t="shared" si="21"/>
        <v>0</v>
      </c>
      <c r="G88" s="10">
        <f t="shared" si="22"/>
        <v>0</v>
      </c>
      <c r="H88" s="42"/>
      <c r="I88" s="39"/>
      <c r="J88" s="39"/>
      <c r="K88" s="39"/>
    </row>
    <row r="89" spans="1:11" x14ac:dyDescent="0.15">
      <c r="A89" s="20">
        <v>0</v>
      </c>
      <c r="B89" s="20">
        <v>0</v>
      </c>
      <c r="C89" s="21">
        <f t="shared" si="23"/>
        <v>0</v>
      </c>
      <c r="D89" s="6">
        <v>1.2999999999999999E-2</v>
      </c>
      <c r="F89" s="22">
        <f t="shared" si="21"/>
        <v>0</v>
      </c>
      <c r="G89" s="10">
        <f t="shared" si="22"/>
        <v>0</v>
      </c>
      <c r="H89" s="43"/>
      <c r="I89" s="39"/>
      <c r="J89" s="39"/>
      <c r="K89" s="39"/>
    </row>
    <row r="90" spans="1:11" x14ac:dyDescent="0.15">
      <c r="A90" s="28"/>
      <c r="B90" s="28"/>
      <c r="C90" s="29"/>
      <c r="D90" s="30"/>
      <c r="F90" s="26"/>
      <c r="G90" s="26"/>
      <c r="H90" s="26"/>
      <c r="I90" s="26"/>
      <c r="J90" s="26"/>
      <c r="K90" s="26"/>
    </row>
    <row r="91" spans="1:11" x14ac:dyDescent="0.15">
      <c r="A91" s="28"/>
      <c r="B91" s="28"/>
      <c r="C91" s="29"/>
      <c r="D91" s="30"/>
      <c r="F91" s="26"/>
      <c r="G91" s="26"/>
      <c r="H91" s="26"/>
      <c r="I91" s="26"/>
      <c r="J91" s="26"/>
      <c r="K91" s="26"/>
    </row>
    <row r="92" spans="1:11" x14ac:dyDescent="0.15">
      <c r="A92" s="28"/>
      <c r="B92" s="28"/>
      <c r="C92" s="29"/>
      <c r="D92" s="30"/>
      <c r="F92" s="31"/>
      <c r="G92" s="26"/>
      <c r="H92" s="26"/>
      <c r="I92" s="26"/>
      <c r="J92" s="26"/>
      <c r="K92" s="26"/>
    </row>
    <row r="93" spans="1:11" x14ac:dyDescent="0.15">
      <c r="A93" s="28"/>
      <c r="B93" s="28"/>
      <c r="C93" s="29"/>
      <c r="D93" s="30"/>
      <c r="F93" s="31"/>
      <c r="G93" s="26"/>
      <c r="H93" s="26"/>
      <c r="I93" s="26"/>
      <c r="J93" s="26"/>
      <c r="K93" s="26"/>
    </row>
    <row r="94" spans="1:11" x14ac:dyDescent="0.15">
      <c r="A94" s="28"/>
      <c r="B94" s="28"/>
      <c r="C94" s="29"/>
      <c r="D94" s="30"/>
      <c r="F94" s="31"/>
      <c r="G94" s="26"/>
      <c r="H94" s="26"/>
      <c r="I94" s="26"/>
      <c r="J94" s="26"/>
      <c r="K94" s="26"/>
    </row>
    <row r="95" spans="1:11" x14ac:dyDescent="0.15">
      <c r="A95" s="7" t="s">
        <v>38</v>
      </c>
      <c r="B95" s="25" t="s">
        <v>12</v>
      </c>
      <c r="C95" s="8" t="s">
        <v>22</v>
      </c>
      <c r="D95" s="18" t="str">
        <f>$K$5</f>
        <v>psi</v>
      </c>
      <c r="F95" s="14" t="s">
        <v>38</v>
      </c>
      <c r="G95" s="9" t="str">
        <f>B95</f>
        <v>CH9</v>
      </c>
      <c r="H95" s="4"/>
      <c r="I95" s="8"/>
      <c r="J95" s="3"/>
      <c r="K95" s="9"/>
    </row>
    <row r="96" spans="1:11" ht="15" customHeight="1" x14ac:dyDescent="0.15">
      <c r="A96" s="50" t="s">
        <v>42</v>
      </c>
      <c r="B96" s="49" t="s">
        <v>40</v>
      </c>
      <c r="C96" s="54" t="s">
        <v>41</v>
      </c>
      <c r="D96" s="55" t="s">
        <v>3</v>
      </c>
      <c r="F96" s="33" t="s">
        <v>42</v>
      </c>
      <c r="G96" s="36" t="s">
        <v>43</v>
      </c>
      <c r="H96" s="38" t="s">
        <v>23</v>
      </c>
      <c r="I96" s="40" t="s">
        <v>37</v>
      </c>
      <c r="J96" s="40"/>
      <c r="K96" s="40"/>
    </row>
    <row r="97" spans="1:11" x14ac:dyDescent="0.15">
      <c r="A97" s="53"/>
      <c r="B97" s="50"/>
      <c r="C97" s="52"/>
      <c r="D97" s="55"/>
      <c r="F97" s="32" t="str">
        <f>"（"&amp;$K$5&amp;"）"</f>
        <v>（psi）</v>
      </c>
      <c r="G97" s="37"/>
      <c r="H97" s="38"/>
      <c r="I97" s="40"/>
      <c r="J97" s="40"/>
      <c r="K97" s="40"/>
    </row>
    <row r="98" spans="1:11" x14ac:dyDescent="0.15">
      <c r="A98" s="20">
        <v>0</v>
      </c>
      <c r="B98" s="20">
        <v>0</v>
      </c>
      <c r="C98" s="21">
        <f>B98-A98</f>
        <v>0</v>
      </c>
      <c r="D98" s="6">
        <v>1.2999999999999999E-2</v>
      </c>
      <c r="F98" s="22">
        <f t="shared" ref="F98:F103" si="24">A98</f>
        <v>0</v>
      </c>
      <c r="G98" s="10">
        <f t="shared" ref="G98:G103" si="25">ABS(C98)/($K$6-$I$6)</f>
        <v>0</v>
      </c>
      <c r="H98" s="41">
        <f>MAX(G98:G103)</f>
        <v>0</v>
      </c>
      <c r="I98" s="39"/>
      <c r="J98" s="39"/>
      <c r="K98" s="39"/>
    </row>
    <row r="99" spans="1:11" x14ac:dyDescent="0.15">
      <c r="A99" s="20">
        <v>0</v>
      </c>
      <c r="B99" s="20">
        <v>0</v>
      </c>
      <c r="C99" s="21">
        <f t="shared" ref="C99:C103" si="26">B99-A99</f>
        <v>0</v>
      </c>
      <c r="D99" s="6">
        <v>1.2999999999999999E-2</v>
      </c>
      <c r="F99" s="22">
        <f t="shared" si="24"/>
        <v>0</v>
      </c>
      <c r="G99" s="10">
        <f t="shared" si="25"/>
        <v>0</v>
      </c>
      <c r="H99" s="42"/>
      <c r="I99" s="39"/>
      <c r="J99" s="39"/>
      <c r="K99" s="39"/>
    </row>
    <row r="100" spans="1:11" x14ac:dyDescent="0.15">
      <c r="A100" s="20">
        <v>0</v>
      </c>
      <c r="B100" s="20">
        <v>0</v>
      </c>
      <c r="C100" s="21">
        <f t="shared" si="26"/>
        <v>0</v>
      </c>
      <c r="D100" s="6">
        <v>1.2999999999999999E-2</v>
      </c>
      <c r="F100" s="22">
        <f t="shared" si="24"/>
        <v>0</v>
      </c>
      <c r="G100" s="10">
        <f t="shared" si="25"/>
        <v>0</v>
      </c>
      <c r="H100" s="42"/>
      <c r="I100" s="39"/>
      <c r="J100" s="39"/>
      <c r="K100" s="39"/>
    </row>
    <row r="101" spans="1:11" x14ac:dyDescent="0.15">
      <c r="A101" s="20">
        <v>0</v>
      </c>
      <c r="B101" s="20">
        <v>0</v>
      </c>
      <c r="C101" s="21">
        <f t="shared" si="26"/>
        <v>0</v>
      </c>
      <c r="D101" s="6">
        <v>1.2999999999999999E-2</v>
      </c>
      <c r="F101" s="22">
        <f t="shared" si="24"/>
        <v>0</v>
      </c>
      <c r="G101" s="10">
        <f t="shared" si="25"/>
        <v>0</v>
      </c>
      <c r="H101" s="42"/>
      <c r="I101" s="39"/>
      <c r="J101" s="39"/>
      <c r="K101" s="39"/>
    </row>
    <row r="102" spans="1:11" x14ac:dyDescent="0.15">
      <c r="A102" s="20">
        <v>0</v>
      </c>
      <c r="B102" s="20">
        <v>0</v>
      </c>
      <c r="C102" s="21">
        <f t="shared" si="26"/>
        <v>0</v>
      </c>
      <c r="D102" s="6">
        <v>1.2999999999999999E-2</v>
      </c>
      <c r="F102" s="22">
        <f t="shared" si="24"/>
        <v>0</v>
      </c>
      <c r="G102" s="10">
        <f t="shared" si="25"/>
        <v>0</v>
      </c>
      <c r="H102" s="42"/>
      <c r="I102" s="39"/>
      <c r="J102" s="39"/>
      <c r="K102" s="39"/>
    </row>
    <row r="103" spans="1:11" x14ac:dyDescent="0.15">
      <c r="A103" s="20">
        <v>0</v>
      </c>
      <c r="B103" s="20">
        <v>0</v>
      </c>
      <c r="C103" s="21">
        <f t="shared" si="26"/>
        <v>0</v>
      </c>
      <c r="D103" s="6">
        <v>1.2999999999999999E-2</v>
      </c>
      <c r="F103" s="22">
        <f t="shared" si="24"/>
        <v>0</v>
      </c>
      <c r="G103" s="10">
        <f t="shared" si="25"/>
        <v>0</v>
      </c>
      <c r="H103" s="43"/>
      <c r="I103" s="39"/>
      <c r="J103" s="39"/>
      <c r="K103" s="39"/>
    </row>
    <row r="104" spans="1:11" x14ac:dyDescent="0.15">
      <c r="A104" s="28"/>
      <c r="B104" s="28"/>
      <c r="C104" s="29"/>
      <c r="D104" s="30"/>
      <c r="F104" s="31"/>
      <c r="G104" s="26"/>
      <c r="H104" s="26"/>
      <c r="I104" s="26"/>
      <c r="J104" s="26"/>
      <c r="K104" s="26"/>
    </row>
    <row r="105" spans="1:11" x14ac:dyDescent="0.15">
      <c r="A105" s="7" t="s">
        <v>38</v>
      </c>
      <c r="B105" s="25" t="s">
        <v>13</v>
      </c>
      <c r="C105" s="8" t="s">
        <v>22</v>
      </c>
      <c r="D105" s="18" t="str">
        <f>$K$5</f>
        <v>psi</v>
      </c>
      <c r="F105" s="14" t="s">
        <v>38</v>
      </c>
      <c r="G105" s="9" t="str">
        <f>B105</f>
        <v>CH10</v>
      </c>
      <c r="H105" s="4"/>
      <c r="I105" s="8"/>
      <c r="J105" s="3"/>
      <c r="K105" s="9"/>
    </row>
    <row r="106" spans="1:11" ht="15" customHeight="1" x14ac:dyDescent="0.15">
      <c r="A106" s="50" t="s">
        <v>42</v>
      </c>
      <c r="B106" s="49" t="s">
        <v>40</v>
      </c>
      <c r="C106" s="54" t="s">
        <v>41</v>
      </c>
      <c r="D106" s="55" t="s">
        <v>3</v>
      </c>
      <c r="F106" s="33" t="s">
        <v>42</v>
      </c>
      <c r="G106" s="36" t="s">
        <v>43</v>
      </c>
      <c r="H106" s="38" t="s">
        <v>23</v>
      </c>
      <c r="I106" s="40" t="s">
        <v>37</v>
      </c>
      <c r="J106" s="40"/>
      <c r="K106" s="40"/>
    </row>
    <row r="107" spans="1:11" x14ac:dyDescent="0.15">
      <c r="A107" s="53"/>
      <c r="B107" s="50"/>
      <c r="C107" s="52"/>
      <c r="D107" s="55"/>
      <c r="F107" s="32" t="str">
        <f>"（"&amp;$K$5&amp;"）"</f>
        <v>（psi）</v>
      </c>
      <c r="G107" s="37"/>
      <c r="H107" s="38"/>
      <c r="I107" s="40"/>
      <c r="J107" s="40"/>
      <c r="K107" s="40"/>
    </row>
    <row r="108" spans="1:11" x14ac:dyDescent="0.15">
      <c r="A108" s="20">
        <v>0</v>
      </c>
      <c r="B108" s="20">
        <v>0</v>
      </c>
      <c r="C108" s="21">
        <f>B108-A108</f>
        <v>0</v>
      </c>
      <c r="D108" s="6">
        <v>1.2999999999999999E-2</v>
      </c>
      <c r="F108" s="22">
        <f t="shared" ref="F108:F113" si="27">A108</f>
        <v>0</v>
      </c>
      <c r="G108" s="10">
        <f t="shared" ref="G108:G113" si="28">ABS(C108)/($K$6-$I$6)</f>
        <v>0</v>
      </c>
      <c r="H108" s="41">
        <f>MAX(G108:G113)</f>
        <v>0</v>
      </c>
      <c r="I108" s="39"/>
      <c r="J108" s="39"/>
      <c r="K108" s="39"/>
    </row>
    <row r="109" spans="1:11" x14ac:dyDescent="0.15">
      <c r="A109" s="20">
        <v>0</v>
      </c>
      <c r="B109" s="20">
        <v>0</v>
      </c>
      <c r="C109" s="21">
        <f t="shared" ref="C109:C113" si="29">B109-A109</f>
        <v>0</v>
      </c>
      <c r="D109" s="6">
        <v>1.2999999999999999E-2</v>
      </c>
      <c r="F109" s="22">
        <f t="shared" si="27"/>
        <v>0</v>
      </c>
      <c r="G109" s="10">
        <f t="shared" si="28"/>
        <v>0</v>
      </c>
      <c r="H109" s="42"/>
      <c r="I109" s="39"/>
      <c r="J109" s="39"/>
      <c r="K109" s="39"/>
    </row>
    <row r="110" spans="1:11" x14ac:dyDescent="0.15">
      <c r="A110" s="20">
        <v>0</v>
      </c>
      <c r="B110" s="20">
        <v>0</v>
      </c>
      <c r="C110" s="21">
        <f t="shared" si="29"/>
        <v>0</v>
      </c>
      <c r="D110" s="6">
        <v>1.2999999999999999E-2</v>
      </c>
      <c r="F110" s="22">
        <f t="shared" si="27"/>
        <v>0</v>
      </c>
      <c r="G110" s="10">
        <f t="shared" si="28"/>
        <v>0</v>
      </c>
      <c r="H110" s="42"/>
      <c r="I110" s="39"/>
      <c r="J110" s="39"/>
      <c r="K110" s="39"/>
    </row>
    <row r="111" spans="1:11" x14ac:dyDescent="0.15">
      <c r="A111" s="20">
        <v>0</v>
      </c>
      <c r="B111" s="20">
        <v>0</v>
      </c>
      <c r="C111" s="21">
        <f t="shared" si="29"/>
        <v>0</v>
      </c>
      <c r="D111" s="6">
        <v>1.2999999999999999E-2</v>
      </c>
      <c r="F111" s="22">
        <f t="shared" si="27"/>
        <v>0</v>
      </c>
      <c r="G111" s="10">
        <f t="shared" si="28"/>
        <v>0</v>
      </c>
      <c r="H111" s="42"/>
      <c r="I111" s="39"/>
      <c r="J111" s="39"/>
      <c r="K111" s="39"/>
    </row>
    <row r="112" spans="1:11" x14ac:dyDescent="0.15">
      <c r="A112" s="20">
        <v>0</v>
      </c>
      <c r="B112" s="20">
        <v>0</v>
      </c>
      <c r="C112" s="21">
        <f t="shared" si="29"/>
        <v>0</v>
      </c>
      <c r="D112" s="6">
        <v>1.2999999999999999E-2</v>
      </c>
      <c r="F112" s="22">
        <f t="shared" si="27"/>
        <v>0</v>
      </c>
      <c r="G112" s="10">
        <f t="shared" si="28"/>
        <v>0</v>
      </c>
      <c r="H112" s="42"/>
      <c r="I112" s="39"/>
      <c r="J112" s="39"/>
      <c r="K112" s="39"/>
    </row>
    <row r="113" spans="1:11" x14ac:dyDescent="0.15">
      <c r="A113" s="20">
        <v>0</v>
      </c>
      <c r="B113" s="20">
        <v>0</v>
      </c>
      <c r="C113" s="21">
        <f t="shared" si="29"/>
        <v>0</v>
      </c>
      <c r="D113" s="6">
        <v>1.2999999999999999E-2</v>
      </c>
      <c r="F113" s="22">
        <f t="shared" si="27"/>
        <v>0</v>
      </c>
      <c r="G113" s="10">
        <f t="shared" si="28"/>
        <v>0</v>
      </c>
      <c r="H113" s="43"/>
      <c r="I113" s="39"/>
      <c r="J113" s="39"/>
      <c r="K113" s="39"/>
    </row>
    <row r="114" spans="1:11" x14ac:dyDescent="0.15">
      <c r="A114" s="28"/>
      <c r="B114" s="28"/>
      <c r="C114" s="29"/>
      <c r="D114" s="30"/>
      <c r="F114" s="31"/>
      <c r="G114" s="26"/>
      <c r="H114" s="26"/>
      <c r="I114" s="26"/>
      <c r="J114" s="26"/>
      <c r="K114" s="26"/>
    </row>
    <row r="115" spans="1:11" x14ac:dyDescent="0.15">
      <c r="A115" s="7" t="s">
        <v>38</v>
      </c>
      <c r="B115" s="25" t="s">
        <v>14</v>
      </c>
      <c r="C115" s="8" t="s">
        <v>22</v>
      </c>
      <c r="D115" s="18" t="str">
        <f>$K$5</f>
        <v>psi</v>
      </c>
      <c r="F115" s="14" t="s">
        <v>38</v>
      </c>
      <c r="G115" s="9" t="str">
        <f>B115</f>
        <v>CH11</v>
      </c>
      <c r="H115" s="4"/>
      <c r="I115" s="8"/>
      <c r="J115" s="3"/>
      <c r="K115" s="9"/>
    </row>
    <row r="116" spans="1:11" ht="15" customHeight="1" x14ac:dyDescent="0.15">
      <c r="A116" s="50" t="s">
        <v>42</v>
      </c>
      <c r="B116" s="49" t="s">
        <v>40</v>
      </c>
      <c r="C116" s="54" t="s">
        <v>41</v>
      </c>
      <c r="D116" s="55" t="s">
        <v>3</v>
      </c>
      <c r="F116" s="33" t="s">
        <v>42</v>
      </c>
      <c r="G116" s="36" t="s">
        <v>43</v>
      </c>
      <c r="H116" s="38" t="s">
        <v>23</v>
      </c>
      <c r="I116" s="40" t="s">
        <v>37</v>
      </c>
      <c r="J116" s="40"/>
      <c r="K116" s="40"/>
    </row>
    <row r="117" spans="1:11" x14ac:dyDescent="0.15">
      <c r="A117" s="53"/>
      <c r="B117" s="50"/>
      <c r="C117" s="52"/>
      <c r="D117" s="55"/>
      <c r="F117" s="32" t="str">
        <f>"（"&amp;$K$5&amp;"）"</f>
        <v>（psi）</v>
      </c>
      <c r="G117" s="37"/>
      <c r="H117" s="38"/>
      <c r="I117" s="40"/>
      <c r="J117" s="40"/>
      <c r="K117" s="40"/>
    </row>
    <row r="118" spans="1:11" x14ac:dyDescent="0.15">
      <c r="A118" s="20">
        <v>0</v>
      </c>
      <c r="B118" s="20">
        <v>0</v>
      </c>
      <c r="C118" s="21">
        <f>B118-A118</f>
        <v>0</v>
      </c>
      <c r="D118" s="6">
        <v>1.2999999999999999E-2</v>
      </c>
      <c r="F118" s="22">
        <f t="shared" ref="F118:F123" si="30">A118</f>
        <v>0</v>
      </c>
      <c r="G118" s="10">
        <f t="shared" ref="G118:G123" si="31">ABS(C118)/($K$6-$I$6)</f>
        <v>0</v>
      </c>
      <c r="H118" s="41">
        <f>MAX(G118:G123)</f>
        <v>0</v>
      </c>
      <c r="I118" s="39"/>
      <c r="J118" s="39"/>
      <c r="K118" s="39"/>
    </row>
    <row r="119" spans="1:11" x14ac:dyDescent="0.15">
      <c r="A119" s="20">
        <v>0</v>
      </c>
      <c r="B119" s="20">
        <v>0</v>
      </c>
      <c r="C119" s="21">
        <f t="shared" ref="C119:C123" si="32">B119-A119</f>
        <v>0</v>
      </c>
      <c r="D119" s="6">
        <v>1.2999999999999999E-2</v>
      </c>
      <c r="F119" s="22">
        <f t="shared" si="30"/>
        <v>0</v>
      </c>
      <c r="G119" s="10">
        <f t="shared" si="31"/>
        <v>0</v>
      </c>
      <c r="H119" s="42"/>
      <c r="I119" s="39"/>
      <c r="J119" s="39"/>
      <c r="K119" s="39"/>
    </row>
    <row r="120" spans="1:11" x14ac:dyDescent="0.15">
      <c r="A120" s="20">
        <v>0</v>
      </c>
      <c r="B120" s="20">
        <v>0</v>
      </c>
      <c r="C120" s="21">
        <f t="shared" si="32"/>
        <v>0</v>
      </c>
      <c r="D120" s="6">
        <v>1.2999999999999999E-2</v>
      </c>
      <c r="F120" s="22">
        <f t="shared" si="30"/>
        <v>0</v>
      </c>
      <c r="G120" s="10">
        <f t="shared" si="31"/>
        <v>0</v>
      </c>
      <c r="H120" s="42"/>
      <c r="I120" s="39"/>
      <c r="J120" s="39"/>
      <c r="K120" s="39"/>
    </row>
    <row r="121" spans="1:11" x14ac:dyDescent="0.15">
      <c r="A121" s="20">
        <v>0</v>
      </c>
      <c r="B121" s="20">
        <v>0</v>
      </c>
      <c r="C121" s="21">
        <f t="shared" si="32"/>
        <v>0</v>
      </c>
      <c r="D121" s="6">
        <v>1.2999999999999999E-2</v>
      </c>
      <c r="F121" s="22">
        <f t="shared" si="30"/>
        <v>0</v>
      </c>
      <c r="G121" s="10">
        <f t="shared" si="31"/>
        <v>0</v>
      </c>
      <c r="H121" s="42"/>
      <c r="I121" s="39"/>
      <c r="J121" s="39"/>
      <c r="K121" s="39"/>
    </row>
    <row r="122" spans="1:11" x14ac:dyDescent="0.15">
      <c r="A122" s="20">
        <v>0</v>
      </c>
      <c r="B122" s="20">
        <v>0</v>
      </c>
      <c r="C122" s="21">
        <f t="shared" si="32"/>
        <v>0</v>
      </c>
      <c r="D122" s="6">
        <v>1.2999999999999999E-2</v>
      </c>
      <c r="F122" s="22">
        <f t="shared" si="30"/>
        <v>0</v>
      </c>
      <c r="G122" s="10">
        <f t="shared" si="31"/>
        <v>0</v>
      </c>
      <c r="H122" s="42"/>
      <c r="I122" s="39"/>
      <c r="J122" s="39"/>
      <c r="K122" s="39"/>
    </row>
    <row r="123" spans="1:11" x14ac:dyDescent="0.15">
      <c r="A123" s="20">
        <v>0</v>
      </c>
      <c r="B123" s="20">
        <v>0</v>
      </c>
      <c r="C123" s="21">
        <f t="shared" si="32"/>
        <v>0</v>
      </c>
      <c r="D123" s="6">
        <v>1.2999999999999999E-2</v>
      </c>
      <c r="F123" s="22">
        <f t="shared" si="30"/>
        <v>0</v>
      </c>
      <c r="G123" s="10">
        <f t="shared" si="31"/>
        <v>0</v>
      </c>
      <c r="H123" s="43"/>
      <c r="I123" s="39"/>
      <c r="J123" s="39"/>
      <c r="K123" s="39"/>
    </row>
    <row r="124" spans="1:11" x14ac:dyDescent="0.15">
      <c r="A124" s="28"/>
      <c r="B124" s="28"/>
      <c r="C124" s="29"/>
      <c r="D124" s="30"/>
      <c r="F124" s="26"/>
      <c r="G124" s="26"/>
      <c r="H124" s="26"/>
      <c r="I124" s="26"/>
      <c r="J124" s="26"/>
      <c r="K124" s="26"/>
    </row>
    <row r="125" spans="1:11" x14ac:dyDescent="0.15">
      <c r="A125" s="7" t="s">
        <v>38</v>
      </c>
      <c r="B125" s="25" t="s">
        <v>15</v>
      </c>
      <c r="C125" s="8" t="s">
        <v>22</v>
      </c>
      <c r="D125" s="18" t="str">
        <f>$K$5</f>
        <v>psi</v>
      </c>
      <c r="F125" s="14" t="s">
        <v>38</v>
      </c>
      <c r="G125" s="9" t="str">
        <f>B125</f>
        <v>CH12</v>
      </c>
      <c r="H125" s="4"/>
      <c r="I125" s="8"/>
      <c r="J125" s="3"/>
      <c r="K125" s="9"/>
    </row>
    <row r="126" spans="1:11" ht="15" customHeight="1" x14ac:dyDescent="0.15">
      <c r="A126" s="50" t="s">
        <v>42</v>
      </c>
      <c r="B126" s="49" t="s">
        <v>40</v>
      </c>
      <c r="C126" s="54" t="s">
        <v>41</v>
      </c>
      <c r="D126" s="55" t="s">
        <v>3</v>
      </c>
      <c r="F126" s="33" t="s">
        <v>42</v>
      </c>
      <c r="G126" s="36" t="s">
        <v>43</v>
      </c>
      <c r="H126" s="38" t="s">
        <v>23</v>
      </c>
      <c r="I126" s="40" t="s">
        <v>37</v>
      </c>
      <c r="J126" s="40"/>
      <c r="K126" s="40"/>
    </row>
    <row r="127" spans="1:11" x14ac:dyDescent="0.15">
      <c r="A127" s="53"/>
      <c r="B127" s="50"/>
      <c r="C127" s="52"/>
      <c r="D127" s="55"/>
      <c r="F127" s="32" t="str">
        <f>"（"&amp;$K$5&amp;"）"</f>
        <v>（psi）</v>
      </c>
      <c r="G127" s="37"/>
      <c r="H127" s="38"/>
      <c r="I127" s="40"/>
      <c r="J127" s="40"/>
      <c r="K127" s="40"/>
    </row>
    <row r="128" spans="1:11" x14ac:dyDescent="0.15">
      <c r="A128" s="20">
        <v>0</v>
      </c>
      <c r="B128" s="20">
        <v>0</v>
      </c>
      <c r="C128" s="21">
        <f>B128-A128</f>
        <v>0</v>
      </c>
      <c r="D128" s="6">
        <v>1.2999999999999999E-2</v>
      </c>
      <c r="F128" s="22">
        <f t="shared" ref="F128:F133" si="33">A128</f>
        <v>0</v>
      </c>
      <c r="G128" s="10">
        <f t="shared" ref="G128:G133" si="34">ABS(C128)/($K$6-$I$6)</f>
        <v>0</v>
      </c>
      <c r="H128" s="41">
        <f>MAX(G128:G133)</f>
        <v>0</v>
      </c>
      <c r="I128" s="39"/>
      <c r="J128" s="39"/>
      <c r="K128" s="39"/>
    </row>
    <row r="129" spans="1:11" x14ac:dyDescent="0.15">
      <c r="A129" s="20">
        <v>0</v>
      </c>
      <c r="B129" s="20">
        <v>0</v>
      </c>
      <c r="C129" s="21">
        <f t="shared" ref="C129:C133" si="35">B129-A129</f>
        <v>0</v>
      </c>
      <c r="D129" s="6">
        <v>1.2999999999999999E-2</v>
      </c>
      <c r="F129" s="22">
        <f t="shared" si="33"/>
        <v>0</v>
      </c>
      <c r="G129" s="10">
        <f t="shared" si="34"/>
        <v>0</v>
      </c>
      <c r="H129" s="42"/>
      <c r="I129" s="39"/>
      <c r="J129" s="39"/>
      <c r="K129" s="39"/>
    </row>
    <row r="130" spans="1:11" x14ac:dyDescent="0.15">
      <c r="A130" s="20">
        <v>0</v>
      </c>
      <c r="B130" s="20">
        <v>0</v>
      </c>
      <c r="C130" s="21">
        <f t="shared" si="35"/>
        <v>0</v>
      </c>
      <c r="D130" s="6">
        <v>1.2999999999999999E-2</v>
      </c>
      <c r="F130" s="22">
        <f t="shared" si="33"/>
        <v>0</v>
      </c>
      <c r="G130" s="10">
        <f t="shared" si="34"/>
        <v>0</v>
      </c>
      <c r="H130" s="42"/>
      <c r="I130" s="39"/>
      <c r="J130" s="39"/>
      <c r="K130" s="39"/>
    </row>
    <row r="131" spans="1:11" x14ac:dyDescent="0.15">
      <c r="A131" s="20">
        <v>0</v>
      </c>
      <c r="B131" s="20">
        <v>0</v>
      </c>
      <c r="C131" s="21">
        <f t="shared" si="35"/>
        <v>0</v>
      </c>
      <c r="D131" s="6">
        <v>1.2999999999999999E-2</v>
      </c>
      <c r="F131" s="22">
        <f t="shared" si="33"/>
        <v>0</v>
      </c>
      <c r="G131" s="10">
        <f t="shared" si="34"/>
        <v>0</v>
      </c>
      <c r="H131" s="42"/>
      <c r="I131" s="39"/>
      <c r="J131" s="39"/>
      <c r="K131" s="39"/>
    </row>
    <row r="132" spans="1:11" x14ac:dyDescent="0.15">
      <c r="A132" s="20">
        <v>0</v>
      </c>
      <c r="B132" s="20">
        <v>0</v>
      </c>
      <c r="C132" s="21">
        <f t="shared" si="35"/>
        <v>0</v>
      </c>
      <c r="D132" s="6">
        <v>1.2999999999999999E-2</v>
      </c>
      <c r="F132" s="22">
        <f t="shared" si="33"/>
        <v>0</v>
      </c>
      <c r="G132" s="10">
        <f t="shared" si="34"/>
        <v>0</v>
      </c>
      <c r="H132" s="42"/>
      <c r="I132" s="39"/>
      <c r="J132" s="39"/>
      <c r="K132" s="39"/>
    </row>
    <row r="133" spans="1:11" x14ac:dyDescent="0.15">
      <c r="A133" s="20">
        <v>0</v>
      </c>
      <c r="B133" s="20">
        <v>0</v>
      </c>
      <c r="C133" s="21">
        <f t="shared" si="35"/>
        <v>0</v>
      </c>
      <c r="D133" s="6">
        <v>1.2999999999999999E-2</v>
      </c>
      <c r="F133" s="22">
        <f t="shared" si="33"/>
        <v>0</v>
      </c>
      <c r="G133" s="10">
        <f t="shared" si="34"/>
        <v>0</v>
      </c>
      <c r="H133" s="43"/>
      <c r="I133" s="39"/>
      <c r="J133" s="39"/>
      <c r="K133" s="39"/>
    </row>
    <row r="134" spans="1:11" x14ac:dyDescent="0.15">
      <c r="A134" s="28"/>
      <c r="B134" s="28"/>
      <c r="C134" s="29"/>
      <c r="D134" s="30"/>
      <c r="F134" s="31"/>
      <c r="G134" s="26"/>
      <c r="H134" s="26"/>
      <c r="I134" s="26"/>
      <c r="J134" s="26"/>
      <c r="K134" s="26"/>
    </row>
    <row r="135" spans="1:11" x14ac:dyDescent="0.15">
      <c r="A135" s="28"/>
      <c r="B135" s="28"/>
      <c r="C135" s="29"/>
      <c r="D135" s="30"/>
      <c r="F135" s="31"/>
      <c r="G135" s="26"/>
      <c r="H135" s="26"/>
      <c r="I135" s="26"/>
      <c r="J135" s="26"/>
      <c r="K135" s="26"/>
    </row>
    <row r="136" spans="1:11" x14ac:dyDescent="0.15">
      <c r="A136" s="28"/>
      <c r="B136" s="28"/>
      <c r="C136" s="29"/>
      <c r="D136" s="30"/>
      <c r="F136" s="31"/>
      <c r="G136" s="26"/>
      <c r="H136" s="26"/>
      <c r="I136" s="26"/>
      <c r="J136" s="26"/>
      <c r="K136" s="26"/>
    </row>
    <row r="137" spans="1:11" x14ac:dyDescent="0.15">
      <c r="A137" s="28"/>
      <c r="B137" s="28"/>
      <c r="C137" s="29"/>
      <c r="D137" s="30"/>
      <c r="F137" s="31"/>
      <c r="G137" s="26"/>
      <c r="H137" s="26"/>
      <c r="I137" s="26"/>
      <c r="J137" s="26"/>
      <c r="K137" s="26"/>
    </row>
    <row r="138" spans="1:11" x14ac:dyDescent="0.15">
      <c r="A138" s="28"/>
      <c r="B138" s="28"/>
      <c r="C138" s="29"/>
      <c r="D138" s="30"/>
      <c r="F138" s="31"/>
      <c r="G138" s="26"/>
      <c r="H138" s="26"/>
      <c r="I138" s="26"/>
      <c r="J138" s="26"/>
      <c r="K138" s="26"/>
    </row>
    <row r="139" spans="1:11" x14ac:dyDescent="0.15">
      <c r="A139" s="7" t="s">
        <v>38</v>
      </c>
      <c r="B139" s="25" t="s">
        <v>16</v>
      </c>
      <c r="C139" s="8" t="s">
        <v>22</v>
      </c>
      <c r="D139" s="18" t="str">
        <f>$K$5</f>
        <v>psi</v>
      </c>
      <c r="F139" s="14" t="s">
        <v>38</v>
      </c>
      <c r="G139" s="9" t="str">
        <f>B139</f>
        <v>CH13</v>
      </c>
      <c r="H139" s="4"/>
      <c r="I139" s="8"/>
      <c r="J139" s="3"/>
      <c r="K139" s="9"/>
    </row>
    <row r="140" spans="1:11" ht="15" customHeight="1" x14ac:dyDescent="0.15">
      <c r="A140" s="50" t="s">
        <v>42</v>
      </c>
      <c r="B140" s="49" t="s">
        <v>40</v>
      </c>
      <c r="C140" s="54" t="s">
        <v>41</v>
      </c>
      <c r="D140" s="55" t="s">
        <v>3</v>
      </c>
      <c r="F140" s="33" t="s">
        <v>42</v>
      </c>
      <c r="G140" s="36" t="s">
        <v>43</v>
      </c>
      <c r="H140" s="38" t="s">
        <v>23</v>
      </c>
      <c r="I140" s="40" t="s">
        <v>37</v>
      </c>
      <c r="J140" s="40"/>
      <c r="K140" s="40"/>
    </row>
    <row r="141" spans="1:11" x14ac:dyDescent="0.15">
      <c r="A141" s="53"/>
      <c r="B141" s="50"/>
      <c r="C141" s="52"/>
      <c r="D141" s="55"/>
      <c r="F141" s="32" t="str">
        <f>"（"&amp;$K$5&amp;"）"</f>
        <v>（psi）</v>
      </c>
      <c r="G141" s="37"/>
      <c r="H141" s="38"/>
      <c r="I141" s="40"/>
      <c r="J141" s="40"/>
      <c r="K141" s="40"/>
    </row>
    <row r="142" spans="1:11" x14ac:dyDescent="0.15">
      <c r="A142" s="20">
        <v>0</v>
      </c>
      <c r="B142" s="20">
        <v>0</v>
      </c>
      <c r="C142" s="21">
        <f>B142-A142</f>
        <v>0</v>
      </c>
      <c r="D142" s="6">
        <v>1.2999999999999999E-2</v>
      </c>
      <c r="F142" s="22">
        <f t="shared" ref="F142:F147" si="36">A142</f>
        <v>0</v>
      </c>
      <c r="G142" s="10">
        <f t="shared" ref="G142:G147" si="37">ABS(C142)/($K$6-$I$6)</f>
        <v>0</v>
      </c>
      <c r="H142" s="41">
        <f>MAX(G142:G147)</f>
        <v>0</v>
      </c>
      <c r="I142" s="39"/>
      <c r="J142" s="39"/>
      <c r="K142" s="39"/>
    </row>
    <row r="143" spans="1:11" x14ac:dyDescent="0.15">
      <c r="A143" s="20">
        <v>0</v>
      </c>
      <c r="B143" s="20">
        <v>0</v>
      </c>
      <c r="C143" s="21">
        <f t="shared" ref="C143:C147" si="38">B143-A143</f>
        <v>0</v>
      </c>
      <c r="D143" s="6">
        <v>1.2999999999999999E-2</v>
      </c>
      <c r="F143" s="22">
        <f t="shared" si="36"/>
        <v>0</v>
      </c>
      <c r="G143" s="10">
        <f t="shared" si="37"/>
        <v>0</v>
      </c>
      <c r="H143" s="42"/>
      <c r="I143" s="39"/>
      <c r="J143" s="39"/>
      <c r="K143" s="39"/>
    </row>
    <row r="144" spans="1:11" x14ac:dyDescent="0.15">
      <c r="A144" s="20">
        <v>0</v>
      </c>
      <c r="B144" s="20">
        <v>0</v>
      </c>
      <c r="C144" s="21">
        <f t="shared" si="38"/>
        <v>0</v>
      </c>
      <c r="D144" s="6">
        <v>1.2999999999999999E-2</v>
      </c>
      <c r="F144" s="22">
        <f t="shared" si="36"/>
        <v>0</v>
      </c>
      <c r="G144" s="10">
        <f t="shared" si="37"/>
        <v>0</v>
      </c>
      <c r="H144" s="42"/>
      <c r="I144" s="39"/>
      <c r="J144" s="39"/>
      <c r="K144" s="39"/>
    </row>
    <row r="145" spans="1:11" x14ac:dyDescent="0.15">
      <c r="A145" s="20">
        <v>0</v>
      </c>
      <c r="B145" s="20">
        <v>0</v>
      </c>
      <c r="C145" s="21">
        <f t="shared" si="38"/>
        <v>0</v>
      </c>
      <c r="D145" s="6">
        <v>1.2999999999999999E-2</v>
      </c>
      <c r="F145" s="22">
        <f t="shared" si="36"/>
        <v>0</v>
      </c>
      <c r="G145" s="10">
        <f t="shared" si="37"/>
        <v>0</v>
      </c>
      <c r="H145" s="42"/>
      <c r="I145" s="39"/>
      <c r="J145" s="39"/>
      <c r="K145" s="39"/>
    </row>
    <row r="146" spans="1:11" x14ac:dyDescent="0.15">
      <c r="A146" s="20">
        <v>0</v>
      </c>
      <c r="B146" s="20">
        <v>0</v>
      </c>
      <c r="C146" s="21">
        <f t="shared" si="38"/>
        <v>0</v>
      </c>
      <c r="D146" s="6">
        <v>1.2999999999999999E-2</v>
      </c>
      <c r="F146" s="22">
        <f t="shared" si="36"/>
        <v>0</v>
      </c>
      <c r="G146" s="10">
        <f t="shared" si="37"/>
        <v>0</v>
      </c>
      <c r="H146" s="42"/>
      <c r="I146" s="39"/>
      <c r="J146" s="39"/>
      <c r="K146" s="39"/>
    </row>
    <row r="147" spans="1:11" x14ac:dyDescent="0.15">
      <c r="A147" s="20">
        <v>0</v>
      </c>
      <c r="B147" s="20">
        <v>0</v>
      </c>
      <c r="C147" s="21">
        <f t="shared" si="38"/>
        <v>0</v>
      </c>
      <c r="D147" s="6">
        <v>1.2999999999999999E-2</v>
      </c>
      <c r="F147" s="22">
        <f t="shared" si="36"/>
        <v>0</v>
      </c>
      <c r="G147" s="10">
        <f t="shared" si="37"/>
        <v>0</v>
      </c>
      <c r="H147" s="43"/>
      <c r="I147" s="39"/>
      <c r="J147" s="39"/>
      <c r="K147" s="39"/>
    </row>
    <row r="148" spans="1:11" x14ac:dyDescent="0.15">
      <c r="A148" s="28"/>
      <c r="B148" s="28"/>
      <c r="C148" s="29"/>
      <c r="D148" s="30"/>
      <c r="F148" s="31"/>
      <c r="G148" s="26"/>
      <c r="H148" s="26"/>
      <c r="I148" s="26"/>
      <c r="J148" s="26"/>
      <c r="K148" s="26"/>
    </row>
    <row r="149" spans="1:11" x14ac:dyDescent="0.15">
      <c r="A149" s="7" t="s">
        <v>38</v>
      </c>
      <c r="B149" s="25" t="s">
        <v>17</v>
      </c>
      <c r="C149" s="8" t="s">
        <v>22</v>
      </c>
      <c r="D149" s="18" t="str">
        <f>$K$5</f>
        <v>psi</v>
      </c>
      <c r="F149" s="14" t="s">
        <v>38</v>
      </c>
      <c r="G149" s="9" t="str">
        <f>B149</f>
        <v>CH14</v>
      </c>
      <c r="H149" s="4"/>
      <c r="I149" s="8"/>
      <c r="J149" s="3"/>
      <c r="K149" s="9"/>
    </row>
    <row r="150" spans="1:11" ht="15" customHeight="1" x14ac:dyDescent="0.15">
      <c r="A150" s="50" t="s">
        <v>42</v>
      </c>
      <c r="B150" s="49" t="s">
        <v>40</v>
      </c>
      <c r="C150" s="54" t="s">
        <v>41</v>
      </c>
      <c r="D150" s="55" t="s">
        <v>3</v>
      </c>
      <c r="F150" s="33" t="s">
        <v>42</v>
      </c>
      <c r="G150" s="36" t="s">
        <v>43</v>
      </c>
      <c r="H150" s="38" t="s">
        <v>23</v>
      </c>
      <c r="I150" s="40" t="s">
        <v>37</v>
      </c>
      <c r="J150" s="40"/>
      <c r="K150" s="40"/>
    </row>
    <row r="151" spans="1:11" x14ac:dyDescent="0.15">
      <c r="A151" s="53"/>
      <c r="B151" s="50"/>
      <c r="C151" s="52"/>
      <c r="D151" s="55"/>
      <c r="F151" s="32" t="str">
        <f>"（"&amp;$K$5&amp;"）"</f>
        <v>（psi）</v>
      </c>
      <c r="G151" s="37"/>
      <c r="H151" s="38"/>
      <c r="I151" s="40"/>
      <c r="J151" s="40"/>
      <c r="K151" s="40"/>
    </row>
    <row r="152" spans="1:11" x14ac:dyDescent="0.15">
      <c r="A152" s="20">
        <v>0</v>
      </c>
      <c r="B152" s="20">
        <v>0</v>
      </c>
      <c r="C152" s="21">
        <f>B152-A152</f>
        <v>0</v>
      </c>
      <c r="D152" s="6">
        <v>1.2999999999999999E-2</v>
      </c>
      <c r="F152" s="22">
        <f t="shared" ref="F152:F157" si="39">A152</f>
        <v>0</v>
      </c>
      <c r="G152" s="10">
        <f t="shared" ref="G152:G157" si="40">ABS(C152)/($K$6-$I$6)</f>
        <v>0</v>
      </c>
      <c r="H152" s="41">
        <f>MAX(G152:G157)</f>
        <v>0</v>
      </c>
      <c r="I152" s="39"/>
      <c r="J152" s="39"/>
      <c r="K152" s="39"/>
    </row>
    <row r="153" spans="1:11" x14ac:dyDescent="0.15">
      <c r="A153" s="20">
        <v>0</v>
      </c>
      <c r="B153" s="20">
        <v>0</v>
      </c>
      <c r="C153" s="21">
        <f t="shared" ref="C153:C157" si="41">B153-A153</f>
        <v>0</v>
      </c>
      <c r="D153" s="6">
        <v>1.2999999999999999E-2</v>
      </c>
      <c r="F153" s="22">
        <f t="shared" si="39"/>
        <v>0</v>
      </c>
      <c r="G153" s="10">
        <f t="shared" si="40"/>
        <v>0</v>
      </c>
      <c r="H153" s="42"/>
      <c r="I153" s="39"/>
      <c r="J153" s="39"/>
      <c r="K153" s="39"/>
    </row>
    <row r="154" spans="1:11" x14ac:dyDescent="0.15">
      <c r="A154" s="20">
        <v>0</v>
      </c>
      <c r="B154" s="20">
        <v>0</v>
      </c>
      <c r="C154" s="21">
        <f t="shared" si="41"/>
        <v>0</v>
      </c>
      <c r="D154" s="6">
        <v>1.2999999999999999E-2</v>
      </c>
      <c r="F154" s="22">
        <f t="shared" si="39"/>
        <v>0</v>
      </c>
      <c r="G154" s="10">
        <f t="shared" si="40"/>
        <v>0</v>
      </c>
      <c r="H154" s="42"/>
      <c r="I154" s="39"/>
      <c r="J154" s="39"/>
      <c r="K154" s="39"/>
    </row>
    <row r="155" spans="1:11" x14ac:dyDescent="0.15">
      <c r="A155" s="20">
        <v>0</v>
      </c>
      <c r="B155" s="20">
        <v>0</v>
      </c>
      <c r="C155" s="21">
        <f t="shared" si="41"/>
        <v>0</v>
      </c>
      <c r="D155" s="6">
        <v>1.2999999999999999E-2</v>
      </c>
      <c r="F155" s="22">
        <f t="shared" si="39"/>
        <v>0</v>
      </c>
      <c r="G155" s="10">
        <f t="shared" si="40"/>
        <v>0</v>
      </c>
      <c r="H155" s="42"/>
      <c r="I155" s="39"/>
      <c r="J155" s="39"/>
      <c r="K155" s="39"/>
    </row>
    <row r="156" spans="1:11" x14ac:dyDescent="0.15">
      <c r="A156" s="20">
        <v>0</v>
      </c>
      <c r="B156" s="20">
        <v>0</v>
      </c>
      <c r="C156" s="21">
        <f t="shared" si="41"/>
        <v>0</v>
      </c>
      <c r="D156" s="6">
        <v>1.2999999999999999E-2</v>
      </c>
      <c r="F156" s="22">
        <f t="shared" si="39"/>
        <v>0</v>
      </c>
      <c r="G156" s="10">
        <f t="shared" si="40"/>
        <v>0</v>
      </c>
      <c r="H156" s="42"/>
      <c r="I156" s="39"/>
      <c r="J156" s="39"/>
      <c r="K156" s="39"/>
    </row>
    <row r="157" spans="1:11" x14ac:dyDescent="0.15">
      <c r="A157" s="20">
        <v>0</v>
      </c>
      <c r="B157" s="20">
        <v>0</v>
      </c>
      <c r="C157" s="21">
        <f t="shared" si="41"/>
        <v>0</v>
      </c>
      <c r="D157" s="6">
        <v>1.2999999999999999E-2</v>
      </c>
      <c r="F157" s="22">
        <f t="shared" si="39"/>
        <v>0</v>
      </c>
      <c r="G157" s="10">
        <f t="shared" si="40"/>
        <v>0</v>
      </c>
      <c r="H157" s="43"/>
      <c r="I157" s="39"/>
      <c r="J157" s="39"/>
      <c r="K157" s="39"/>
    </row>
    <row r="158" spans="1:11" x14ac:dyDescent="0.15">
      <c r="A158" s="28"/>
      <c r="B158" s="28"/>
      <c r="C158" s="29"/>
      <c r="D158" s="30"/>
      <c r="F158" s="31"/>
      <c r="G158" s="26"/>
      <c r="H158" s="26"/>
      <c r="I158" s="26"/>
      <c r="J158" s="26"/>
      <c r="K158" s="26"/>
    </row>
    <row r="159" spans="1:11" x14ac:dyDescent="0.15">
      <c r="A159" s="7" t="s">
        <v>38</v>
      </c>
      <c r="B159" s="25" t="s">
        <v>18</v>
      </c>
      <c r="C159" s="8" t="s">
        <v>22</v>
      </c>
      <c r="D159" s="18" t="str">
        <f>$K$5</f>
        <v>psi</v>
      </c>
      <c r="F159" s="14" t="s">
        <v>38</v>
      </c>
      <c r="G159" s="9" t="str">
        <f>B159</f>
        <v>CH15</v>
      </c>
      <c r="H159" s="4"/>
      <c r="I159" s="8"/>
      <c r="J159" s="3"/>
      <c r="K159" s="9"/>
    </row>
    <row r="160" spans="1:11" ht="15" customHeight="1" x14ac:dyDescent="0.15">
      <c r="A160" s="50" t="s">
        <v>42</v>
      </c>
      <c r="B160" s="49" t="s">
        <v>40</v>
      </c>
      <c r="C160" s="54" t="s">
        <v>41</v>
      </c>
      <c r="D160" s="55" t="s">
        <v>3</v>
      </c>
      <c r="F160" s="33" t="s">
        <v>42</v>
      </c>
      <c r="G160" s="36" t="s">
        <v>43</v>
      </c>
      <c r="H160" s="38" t="s">
        <v>23</v>
      </c>
      <c r="I160" s="40" t="s">
        <v>37</v>
      </c>
      <c r="J160" s="40"/>
      <c r="K160" s="40"/>
    </row>
    <row r="161" spans="1:11" x14ac:dyDescent="0.15">
      <c r="A161" s="53"/>
      <c r="B161" s="50"/>
      <c r="C161" s="52"/>
      <c r="D161" s="55"/>
      <c r="F161" s="32" t="str">
        <f>"（"&amp;$K$5&amp;"）"</f>
        <v>（psi）</v>
      </c>
      <c r="G161" s="37"/>
      <c r="H161" s="38"/>
      <c r="I161" s="40"/>
      <c r="J161" s="40"/>
      <c r="K161" s="40"/>
    </row>
    <row r="162" spans="1:11" x14ac:dyDescent="0.15">
      <c r="A162" s="20">
        <v>0</v>
      </c>
      <c r="B162" s="20">
        <v>0</v>
      </c>
      <c r="C162" s="21">
        <f>B162-A162</f>
        <v>0</v>
      </c>
      <c r="D162" s="6">
        <v>1.2999999999999999E-2</v>
      </c>
      <c r="F162" s="22">
        <f t="shared" ref="F162:F167" si="42">A162</f>
        <v>0</v>
      </c>
      <c r="G162" s="10">
        <f t="shared" ref="G162:G167" si="43">ABS(C162)/($K$6-$I$6)</f>
        <v>0</v>
      </c>
      <c r="H162" s="41">
        <f>MAX(G162:G167)</f>
        <v>0</v>
      </c>
      <c r="I162" s="39"/>
      <c r="J162" s="39"/>
      <c r="K162" s="39"/>
    </row>
    <row r="163" spans="1:11" x14ac:dyDescent="0.15">
      <c r="A163" s="20">
        <v>0</v>
      </c>
      <c r="B163" s="20">
        <v>0</v>
      </c>
      <c r="C163" s="21">
        <f t="shared" ref="C163:C167" si="44">B163-A163</f>
        <v>0</v>
      </c>
      <c r="D163" s="6">
        <v>1.2999999999999999E-2</v>
      </c>
      <c r="F163" s="22">
        <f t="shared" si="42"/>
        <v>0</v>
      </c>
      <c r="G163" s="10">
        <f t="shared" si="43"/>
        <v>0</v>
      </c>
      <c r="H163" s="42"/>
      <c r="I163" s="39"/>
      <c r="J163" s="39"/>
      <c r="K163" s="39"/>
    </row>
    <row r="164" spans="1:11" x14ac:dyDescent="0.15">
      <c r="A164" s="20">
        <v>0</v>
      </c>
      <c r="B164" s="20">
        <v>0</v>
      </c>
      <c r="C164" s="21">
        <f t="shared" si="44"/>
        <v>0</v>
      </c>
      <c r="D164" s="6">
        <v>1.2999999999999999E-2</v>
      </c>
      <c r="F164" s="22">
        <f t="shared" si="42"/>
        <v>0</v>
      </c>
      <c r="G164" s="10">
        <f t="shared" si="43"/>
        <v>0</v>
      </c>
      <c r="H164" s="42"/>
      <c r="I164" s="39"/>
      <c r="J164" s="39"/>
      <c r="K164" s="39"/>
    </row>
    <row r="165" spans="1:11" x14ac:dyDescent="0.15">
      <c r="A165" s="20">
        <v>0</v>
      </c>
      <c r="B165" s="20">
        <v>0</v>
      </c>
      <c r="C165" s="21">
        <f t="shared" si="44"/>
        <v>0</v>
      </c>
      <c r="D165" s="6">
        <v>1.2999999999999999E-2</v>
      </c>
      <c r="F165" s="22">
        <f t="shared" si="42"/>
        <v>0</v>
      </c>
      <c r="G165" s="10">
        <f t="shared" si="43"/>
        <v>0</v>
      </c>
      <c r="H165" s="42"/>
      <c r="I165" s="39"/>
      <c r="J165" s="39"/>
      <c r="K165" s="39"/>
    </row>
    <row r="166" spans="1:11" x14ac:dyDescent="0.15">
      <c r="A166" s="20">
        <v>0</v>
      </c>
      <c r="B166" s="20">
        <v>0</v>
      </c>
      <c r="C166" s="21">
        <f t="shared" si="44"/>
        <v>0</v>
      </c>
      <c r="D166" s="6">
        <v>1.2999999999999999E-2</v>
      </c>
      <c r="F166" s="22">
        <f t="shared" si="42"/>
        <v>0</v>
      </c>
      <c r="G166" s="10">
        <f t="shared" si="43"/>
        <v>0</v>
      </c>
      <c r="H166" s="42"/>
      <c r="I166" s="39"/>
      <c r="J166" s="39"/>
      <c r="K166" s="39"/>
    </row>
    <row r="167" spans="1:11" x14ac:dyDescent="0.15">
      <c r="A167" s="20">
        <v>0</v>
      </c>
      <c r="B167" s="20">
        <v>0</v>
      </c>
      <c r="C167" s="21">
        <f t="shared" si="44"/>
        <v>0</v>
      </c>
      <c r="D167" s="6">
        <v>1.2999999999999999E-2</v>
      </c>
      <c r="F167" s="22">
        <f t="shared" si="42"/>
        <v>0</v>
      </c>
      <c r="G167" s="10">
        <f t="shared" si="43"/>
        <v>0</v>
      </c>
      <c r="H167" s="43"/>
      <c r="I167" s="39"/>
      <c r="J167" s="39"/>
      <c r="K167" s="39"/>
    </row>
    <row r="168" spans="1:11" x14ac:dyDescent="0.15">
      <c r="A168" s="28"/>
      <c r="B168" s="28"/>
      <c r="C168" s="29"/>
      <c r="D168" s="30"/>
      <c r="F168" s="31"/>
      <c r="G168" s="26"/>
      <c r="H168" s="26"/>
      <c r="I168" s="26"/>
      <c r="J168" s="26"/>
      <c r="K168" s="26"/>
    </row>
    <row r="169" spans="1:11" x14ac:dyDescent="0.15">
      <c r="A169" s="7" t="s">
        <v>38</v>
      </c>
      <c r="B169" s="25" t="s">
        <v>19</v>
      </c>
      <c r="C169" s="8" t="s">
        <v>22</v>
      </c>
      <c r="D169" s="18" t="str">
        <f>$K$5</f>
        <v>psi</v>
      </c>
      <c r="F169" s="14" t="s">
        <v>38</v>
      </c>
      <c r="G169" s="9" t="str">
        <f>B169</f>
        <v>CH16</v>
      </c>
      <c r="H169" s="4"/>
      <c r="I169" s="8"/>
      <c r="J169" s="3"/>
      <c r="K169" s="9"/>
    </row>
    <row r="170" spans="1:11" ht="15" customHeight="1" x14ac:dyDescent="0.15">
      <c r="A170" s="50" t="s">
        <v>42</v>
      </c>
      <c r="B170" s="49" t="s">
        <v>40</v>
      </c>
      <c r="C170" s="54" t="s">
        <v>41</v>
      </c>
      <c r="D170" s="55" t="s">
        <v>3</v>
      </c>
      <c r="F170" s="33" t="s">
        <v>42</v>
      </c>
      <c r="G170" s="36" t="s">
        <v>43</v>
      </c>
      <c r="H170" s="38" t="s">
        <v>23</v>
      </c>
      <c r="I170" s="40" t="s">
        <v>37</v>
      </c>
      <c r="J170" s="40"/>
      <c r="K170" s="40"/>
    </row>
    <row r="171" spans="1:11" x14ac:dyDescent="0.15">
      <c r="A171" s="53"/>
      <c r="B171" s="50"/>
      <c r="C171" s="52"/>
      <c r="D171" s="55"/>
      <c r="F171" s="32" t="str">
        <f>"（"&amp;$K$5&amp;"）"</f>
        <v>（psi）</v>
      </c>
      <c r="G171" s="37"/>
      <c r="H171" s="38"/>
      <c r="I171" s="40"/>
      <c r="J171" s="40"/>
      <c r="K171" s="40"/>
    </row>
    <row r="172" spans="1:11" x14ac:dyDescent="0.15">
      <c r="A172" s="20">
        <v>0</v>
      </c>
      <c r="B172" s="20">
        <v>0</v>
      </c>
      <c r="C172" s="21">
        <f>B172-A172</f>
        <v>0</v>
      </c>
      <c r="D172" s="6">
        <v>1.2999999999999999E-2</v>
      </c>
      <c r="F172" s="22">
        <f t="shared" ref="F172:F177" si="45">A172</f>
        <v>0</v>
      </c>
      <c r="G172" s="10">
        <f t="shared" ref="G172:G177" si="46">ABS(C172)/($K$6-$I$6)</f>
        <v>0</v>
      </c>
      <c r="H172" s="41">
        <f>MAX(G172:G177)</f>
        <v>0</v>
      </c>
      <c r="I172" s="39"/>
      <c r="J172" s="39"/>
      <c r="K172" s="39"/>
    </row>
    <row r="173" spans="1:11" x14ac:dyDescent="0.15">
      <c r="A173" s="20">
        <v>0</v>
      </c>
      <c r="B173" s="20">
        <v>0</v>
      </c>
      <c r="C173" s="21">
        <f t="shared" ref="C173:C177" si="47">B173-A173</f>
        <v>0</v>
      </c>
      <c r="D173" s="6">
        <v>1.2999999999999999E-2</v>
      </c>
      <c r="F173" s="22">
        <f t="shared" si="45"/>
        <v>0</v>
      </c>
      <c r="G173" s="10">
        <f t="shared" si="46"/>
        <v>0</v>
      </c>
      <c r="H173" s="42"/>
      <c r="I173" s="39"/>
      <c r="J173" s="39"/>
      <c r="K173" s="39"/>
    </row>
    <row r="174" spans="1:11" x14ac:dyDescent="0.15">
      <c r="A174" s="20">
        <v>0</v>
      </c>
      <c r="B174" s="20">
        <v>0</v>
      </c>
      <c r="C174" s="21">
        <f t="shared" si="47"/>
        <v>0</v>
      </c>
      <c r="D174" s="6">
        <v>1.2999999999999999E-2</v>
      </c>
      <c r="F174" s="22">
        <f t="shared" si="45"/>
        <v>0</v>
      </c>
      <c r="G174" s="10">
        <f t="shared" si="46"/>
        <v>0</v>
      </c>
      <c r="H174" s="42"/>
      <c r="I174" s="39"/>
      <c r="J174" s="39"/>
      <c r="K174" s="39"/>
    </row>
    <row r="175" spans="1:11" x14ac:dyDescent="0.15">
      <c r="A175" s="20">
        <v>0</v>
      </c>
      <c r="B175" s="20">
        <v>0</v>
      </c>
      <c r="C175" s="21">
        <f t="shared" si="47"/>
        <v>0</v>
      </c>
      <c r="D175" s="6">
        <v>1.2999999999999999E-2</v>
      </c>
      <c r="F175" s="22">
        <f t="shared" si="45"/>
        <v>0</v>
      </c>
      <c r="G175" s="10">
        <f t="shared" si="46"/>
        <v>0</v>
      </c>
      <c r="H175" s="42"/>
      <c r="I175" s="39"/>
      <c r="J175" s="39"/>
      <c r="K175" s="39"/>
    </row>
    <row r="176" spans="1:11" x14ac:dyDescent="0.15">
      <c r="A176" s="20">
        <v>0</v>
      </c>
      <c r="B176" s="20">
        <v>0</v>
      </c>
      <c r="C176" s="21">
        <f t="shared" si="47"/>
        <v>0</v>
      </c>
      <c r="D176" s="6">
        <v>1.2999999999999999E-2</v>
      </c>
      <c r="F176" s="22">
        <f t="shared" si="45"/>
        <v>0</v>
      </c>
      <c r="G176" s="10">
        <f t="shared" si="46"/>
        <v>0</v>
      </c>
      <c r="H176" s="42"/>
      <c r="I176" s="39"/>
      <c r="J176" s="39"/>
      <c r="K176" s="39"/>
    </row>
    <row r="177" spans="1:11" x14ac:dyDescent="0.15">
      <c r="A177" s="20">
        <v>0</v>
      </c>
      <c r="B177" s="20">
        <v>0</v>
      </c>
      <c r="C177" s="21">
        <f t="shared" si="47"/>
        <v>0</v>
      </c>
      <c r="D177" s="6">
        <v>1.2999999999999999E-2</v>
      </c>
      <c r="F177" s="22">
        <f t="shared" si="45"/>
        <v>0</v>
      </c>
      <c r="G177" s="10">
        <f t="shared" si="46"/>
        <v>0</v>
      </c>
      <c r="H177" s="43"/>
      <c r="I177" s="39"/>
      <c r="J177" s="39"/>
      <c r="K177" s="39"/>
    </row>
    <row r="178" spans="1:11" x14ac:dyDescent="0.15">
      <c r="A178" s="44"/>
      <c r="B178" s="44"/>
      <c r="C178" s="44"/>
      <c r="D178" s="44"/>
    </row>
    <row r="179" spans="1:11" x14ac:dyDescent="0.15">
      <c r="A179" s="46" t="s">
        <v>2</v>
      </c>
      <c r="B179" s="46"/>
      <c r="C179" s="46"/>
      <c r="D179" s="46"/>
    </row>
    <row r="180" spans="1:11" x14ac:dyDescent="0.15">
      <c r="A180" s="44" t="s">
        <v>1</v>
      </c>
      <c r="B180" s="44"/>
      <c r="C180" s="44"/>
      <c r="D180" s="44"/>
    </row>
  </sheetData>
  <mergeCells count="152">
    <mergeCell ref="B96:B97"/>
    <mergeCell ref="B106:B107"/>
    <mergeCell ref="B116:B117"/>
    <mergeCell ref="B126:B127"/>
    <mergeCell ref="B140:B141"/>
    <mergeCell ref="B150:B151"/>
    <mergeCell ref="B160:B161"/>
    <mergeCell ref="B170:B171"/>
    <mergeCell ref="B8:B9"/>
    <mergeCell ref="B18:B19"/>
    <mergeCell ref="B28:B29"/>
    <mergeCell ref="I8:K9"/>
    <mergeCell ref="I10:K15"/>
    <mergeCell ref="I18:K19"/>
    <mergeCell ref="I20:K25"/>
    <mergeCell ref="I28:K29"/>
    <mergeCell ref="I30:K35"/>
    <mergeCell ref="I38:K39"/>
    <mergeCell ref="I40:K45"/>
    <mergeCell ref="D8:D9"/>
    <mergeCell ref="H28:H29"/>
    <mergeCell ref="G28:G29"/>
    <mergeCell ref="H20:H25"/>
    <mergeCell ref="H8:H9"/>
    <mergeCell ref="G8:G9"/>
    <mergeCell ref="H18:H19"/>
    <mergeCell ref="G18:G19"/>
    <mergeCell ref="H10:H15"/>
    <mergeCell ref="H30:H35"/>
    <mergeCell ref="G38:G39"/>
    <mergeCell ref="H38:H39"/>
    <mergeCell ref="H40:H45"/>
    <mergeCell ref="D170:D171"/>
    <mergeCell ref="A170:A171"/>
    <mergeCell ref="C170:C171"/>
    <mergeCell ref="A160:A161"/>
    <mergeCell ref="C160:C161"/>
    <mergeCell ref="D160:D161"/>
    <mergeCell ref="A150:A151"/>
    <mergeCell ref="C150:C151"/>
    <mergeCell ref="D150:D151"/>
    <mergeCell ref="D140:D141"/>
    <mergeCell ref="A140:A141"/>
    <mergeCell ref="C140:C141"/>
    <mergeCell ref="A126:A127"/>
    <mergeCell ref="C126:C127"/>
    <mergeCell ref="D126:D127"/>
    <mergeCell ref="A18:A19"/>
    <mergeCell ref="C18:C19"/>
    <mergeCell ref="D18:D19"/>
    <mergeCell ref="A96:A97"/>
    <mergeCell ref="C96:C97"/>
    <mergeCell ref="A116:A117"/>
    <mergeCell ref="C116:C117"/>
    <mergeCell ref="D116:D117"/>
    <mergeCell ref="A106:A107"/>
    <mergeCell ref="C106:C107"/>
    <mergeCell ref="D106:D107"/>
    <mergeCell ref="D96:D97"/>
    <mergeCell ref="D72:D73"/>
    <mergeCell ref="B38:B39"/>
    <mergeCell ref="B52:B53"/>
    <mergeCell ref="B62:B63"/>
    <mergeCell ref="B72:B73"/>
    <mergeCell ref="B82:B83"/>
    <mergeCell ref="A178:D178"/>
    <mergeCell ref="A179:D179"/>
    <mergeCell ref="A180:D180"/>
    <mergeCell ref="A3:D3"/>
    <mergeCell ref="A4:D4"/>
    <mergeCell ref="A8:A9"/>
    <mergeCell ref="C8:C9"/>
    <mergeCell ref="A28:A29"/>
    <mergeCell ref="C28:C29"/>
    <mergeCell ref="D28:D29"/>
    <mergeCell ref="A38:A39"/>
    <mergeCell ref="C38:C39"/>
    <mergeCell ref="D38:D39"/>
    <mergeCell ref="A52:A53"/>
    <mergeCell ref="C52:C53"/>
    <mergeCell ref="D52:D53"/>
    <mergeCell ref="A62:A63"/>
    <mergeCell ref="C62:C63"/>
    <mergeCell ref="A72:A73"/>
    <mergeCell ref="C72:C73"/>
    <mergeCell ref="D62:D63"/>
    <mergeCell ref="D82:D83"/>
    <mergeCell ref="A82:A83"/>
    <mergeCell ref="C82:C83"/>
    <mergeCell ref="G106:G107"/>
    <mergeCell ref="H106:H107"/>
    <mergeCell ref="G52:G53"/>
    <mergeCell ref="H52:H53"/>
    <mergeCell ref="I52:K53"/>
    <mergeCell ref="H54:H59"/>
    <mergeCell ref="G62:G63"/>
    <mergeCell ref="H62:H63"/>
    <mergeCell ref="H64:H69"/>
    <mergeCell ref="G72:G73"/>
    <mergeCell ref="H72:H73"/>
    <mergeCell ref="I54:K59"/>
    <mergeCell ref="I62:K63"/>
    <mergeCell ref="I64:K69"/>
    <mergeCell ref="I72:K73"/>
    <mergeCell ref="F4:J4"/>
    <mergeCell ref="F3:J3"/>
    <mergeCell ref="H172:H177"/>
    <mergeCell ref="H152:H157"/>
    <mergeCell ref="G160:G161"/>
    <mergeCell ref="H160:H161"/>
    <mergeCell ref="H162:H167"/>
    <mergeCell ref="I172:K177"/>
    <mergeCell ref="H128:H133"/>
    <mergeCell ref="G140:G141"/>
    <mergeCell ref="H140:H141"/>
    <mergeCell ref="I128:K133"/>
    <mergeCell ref="I140:K141"/>
    <mergeCell ref="H142:H147"/>
    <mergeCell ref="G150:G151"/>
    <mergeCell ref="H150:H151"/>
    <mergeCell ref="H74:H79"/>
    <mergeCell ref="G82:G83"/>
    <mergeCell ref="H82:H83"/>
    <mergeCell ref="I74:K79"/>
    <mergeCell ref="I82:K83"/>
    <mergeCell ref="I84:K89"/>
    <mergeCell ref="I96:K97"/>
    <mergeCell ref="H98:H103"/>
    <mergeCell ref="I1:I2"/>
    <mergeCell ref="G170:G171"/>
    <mergeCell ref="H170:H171"/>
    <mergeCell ref="I142:K147"/>
    <mergeCell ref="I150:K151"/>
    <mergeCell ref="I152:K157"/>
    <mergeCell ref="I160:K161"/>
    <mergeCell ref="I162:K167"/>
    <mergeCell ref="I170:K171"/>
    <mergeCell ref="I118:K123"/>
    <mergeCell ref="I126:K127"/>
    <mergeCell ref="H108:H113"/>
    <mergeCell ref="G116:G117"/>
    <mergeCell ref="H116:H117"/>
    <mergeCell ref="I98:K103"/>
    <mergeCell ref="I106:K107"/>
    <mergeCell ref="I108:K113"/>
    <mergeCell ref="I116:K117"/>
    <mergeCell ref="H118:H123"/>
    <mergeCell ref="G126:G127"/>
    <mergeCell ref="H126:H127"/>
    <mergeCell ref="H84:H89"/>
    <mergeCell ref="G96:G97"/>
    <mergeCell ref="H96:H97"/>
  </mergeCells>
  <phoneticPr fontId="7" type="noConversion"/>
  <conditionalFormatting sqref="G10:G15">
    <cfRule type="cellIs" dxfId="65" priority="613" operator="lessThan">
      <formula>$G$6/100</formula>
    </cfRule>
    <cfRule type="cellIs" dxfId="64" priority="614" operator="greaterThanOrEqual">
      <formula>$G$6/100</formula>
    </cfRule>
  </conditionalFormatting>
  <conditionalFormatting sqref="J2:K2">
    <cfRule type="cellIs" dxfId="63" priority="425" operator="lessThan">
      <formula>0.0005</formula>
    </cfRule>
    <cfRule type="cellIs" dxfId="62" priority="426" operator="greaterThanOrEqual">
      <formula>0.0005</formula>
    </cfRule>
  </conditionalFormatting>
  <conditionalFormatting sqref="H10">
    <cfRule type="cellIs" dxfId="61" priority="61" operator="lessThan">
      <formula>$G$6/100</formula>
    </cfRule>
    <cfRule type="cellIs" dxfId="60" priority="62" operator="greaterThanOrEqual">
      <formula>$G$6/100</formula>
    </cfRule>
  </conditionalFormatting>
  <conditionalFormatting sqref="G20:G25">
    <cfRule type="cellIs" dxfId="59" priority="59" operator="lessThan">
      <formula>$G$6/100</formula>
    </cfRule>
    <cfRule type="cellIs" dxfId="58" priority="60" operator="greaterThanOrEqual">
      <formula>$G$6/100</formula>
    </cfRule>
  </conditionalFormatting>
  <conditionalFormatting sqref="H20">
    <cfRule type="cellIs" dxfId="57" priority="57" operator="lessThan">
      <formula>$G$6/100</formula>
    </cfRule>
    <cfRule type="cellIs" dxfId="56" priority="58" operator="greaterThanOrEqual">
      <formula>$G$6/100</formula>
    </cfRule>
  </conditionalFormatting>
  <conditionalFormatting sqref="G30:G35">
    <cfRule type="cellIs" dxfId="55" priority="55" operator="lessThan">
      <formula>$G$6/100</formula>
    </cfRule>
    <cfRule type="cellIs" dxfId="54" priority="56" operator="greaterThanOrEqual">
      <formula>$G$6/100</formula>
    </cfRule>
  </conditionalFormatting>
  <conditionalFormatting sqref="H30">
    <cfRule type="cellIs" dxfId="53" priority="53" operator="lessThan">
      <formula>$G$6/100</formula>
    </cfRule>
    <cfRule type="cellIs" dxfId="52" priority="54" operator="greaterThanOrEqual">
      <formula>$G$6/100</formula>
    </cfRule>
  </conditionalFormatting>
  <conditionalFormatting sqref="G40:G45">
    <cfRule type="cellIs" dxfId="51" priority="51" operator="lessThan">
      <formula>$G$6/100</formula>
    </cfRule>
    <cfRule type="cellIs" dxfId="50" priority="52" operator="greaterThanOrEqual">
      <formula>$G$6/100</formula>
    </cfRule>
  </conditionalFormatting>
  <conditionalFormatting sqref="H40">
    <cfRule type="cellIs" dxfId="49" priority="49" operator="lessThan">
      <formula>$G$6/100</formula>
    </cfRule>
    <cfRule type="cellIs" dxfId="48" priority="50" operator="greaterThanOrEqual">
      <formula>$G$6/100</formula>
    </cfRule>
  </conditionalFormatting>
  <conditionalFormatting sqref="G54:G59">
    <cfRule type="cellIs" dxfId="47" priority="47" operator="lessThan">
      <formula>$G$6/100</formula>
    </cfRule>
    <cfRule type="cellIs" dxfId="46" priority="48" operator="greaterThanOrEqual">
      <formula>$G$6/100</formula>
    </cfRule>
  </conditionalFormatting>
  <conditionalFormatting sqref="H54">
    <cfRule type="cellIs" dxfId="45" priority="45" operator="lessThan">
      <formula>$G$6/100</formula>
    </cfRule>
    <cfRule type="cellIs" dxfId="44" priority="46" operator="greaterThanOrEqual">
      <formula>$G$6/100</formula>
    </cfRule>
  </conditionalFormatting>
  <conditionalFormatting sqref="G64:G69">
    <cfRule type="cellIs" dxfId="43" priority="43" operator="lessThan">
      <formula>$G$6/100</formula>
    </cfRule>
    <cfRule type="cellIs" dxfId="42" priority="44" operator="greaterThanOrEqual">
      <formula>$G$6/100</formula>
    </cfRule>
  </conditionalFormatting>
  <conditionalFormatting sqref="H64">
    <cfRule type="cellIs" dxfId="41" priority="41" operator="lessThan">
      <formula>$G$6/100</formula>
    </cfRule>
    <cfRule type="cellIs" dxfId="40" priority="42" operator="greaterThanOrEqual">
      <formula>$G$6/100</formula>
    </cfRule>
  </conditionalFormatting>
  <conditionalFormatting sqref="G74:G79">
    <cfRule type="cellIs" dxfId="39" priority="39" operator="lessThan">
      <formula>$G$6/100</formula>
    </cfRule>
    <cfRule type="cellIs" dxfId="38" priority="40" operator="greaterThanOrEqual">
      <formula>$G$6/100</formula>
    </cfRule>
  </conditionalFormatting>
  <conditionalFormatting sqref="H74">
    <cfRule type="cellIs" dxfId="37" priority="37" operator="lessThan">
      <formula>$G$6/100</formula>
    </cfRule>
    <cfRule type="cellIs" dxfId="36" priority="38" operator="greaterThanOrEqual">
      <formula>$G$6/100</formula>
    </cfRule>
  </conditionalFormatting>
  <conditionalFormatting sqref="G84:G89">
    <cfRule type="cellIs" dxfId="35" priority="35" operator="lessThan">
      <formula>$G$6/100</formula>
    </cfRule>
    <cfRule type="cellIs" dxfId="34" priority="36" operator="greaterThanOrEqual">
      <formula>$G$6/100</formula>
    </cfRule>
  </conditionalFormatting>
  <conditionalFormatting sqref="H84">
    <cfRule type="cellIs" dxfId="33" priority="33" operator="lessThan">
      <formula>$G$6/100</formula>
    </cfRule>
    <cfRule type="cellIs" dxfId="32" priority="34" operator="greaterThanOrEqual">
      <formula>$G$6/100</formula>
    </cfRule>
  </conditionalFormatting>
  <conditionalFormatting sqref="G98:G103">
    <cfRule type="cellIs" dxfId="31" priority="31" operator="lessThan">
      <formula>$G$6/100</formula>
    </cfRule>
    <cfRule type="cellIs" dxfId="30" priority="32" operator="greaterThanOrEqual">
      <formula>$G$6/100</formula>
    </cfRule>
  </conditionalFormatting>
  <conditionalFormatting sqref="H98">
    <cfRule type="cellIs" dxfId="29" priority="29" operator="lessThan">
      <formula>$G$6/100</formula>
    </cfRule>
    <cfRule type="cellIs" dxfId="28" priority="30" operator="greaterThanOrEqual">
      <formula>$G$6/100</formula>
    </cfRule>
  </conditionalFormatting>
  <conditionalFormatting sqref="G108:G113">
    <cfRule type="cellIs" dxfId="27" priority="27" operator="lessThan">
      <formula>$G$6/100</formula>
    </cfRule>
    <cfRule type="cellIs" dxfId="26" priority="28" operator="greaterThanOrEqual">
      <formula>$G$6/100</formula>
    </cfRule>
  </conditionalFormatting>
  <conditionalFormatting sqref="H108">
    <cfRule type="cellIs" dxfId="25" priority="25" operator="lessThan">
      <formula>$G$6/100</formula>
    </cfRule>
    <cfRule type="cellIs" dxfId="24" priority="26" operator="greaterThanOrEqual">
      <formula>$G$6/100</formula>
    </cfRule>
  </conditionalFormatting>
  <conditionalFormatting sqref="G118:G123">
    <cfRule type="cellIs" dxfId="23" priority="23" operator="lessThan">
      <formula>$G$6/100</formula>
    </cfRule>
    <cfRule type="cellIs" dxfId="22" priority="24" operator="greaterThanOrEqual">
      <formula>$G$6/100</formula>
    </cfRule>
  </conditionalFormatting>
  <conditionalFormatting sqref="H118">
    <cfRule type="cellIs" dxfId="21" priority="21" operator="lessThan">
      <formula>$G$6/100</formula>
    </cfRule>
    <cfRule type="cellIs" dxfId="20" priority="22" operator="greaterThanOrEqual">
      <formula>$G$6/100</formula>
    </cfRule>
  </conditionalFormatting>
  <conditionalFormatting sqref="G128:G133">
    <cfRule type="cellIs" dxfId="19" priority="19" operator="lessThan">
      <formula>$G$6/100</formula>
    </cfRule>
    <cfRule type="cellIs" dxfId="18" priority="20" operator="greaterThanOrEqual">
      <formula>$G$6/100</formula>
    </cfRule>
  </conditionalFormatting>
  <conditionalFormatting sqref="H128">
    <cfRule type="cellIs" dxfId="17" priority="17" operator="lessThan">
      <formula>$G$6/100</formula>
    </cfRule>
    <cfRule type="cellIs" dxfId="16" priority="18" operator="greaterThanOrEqual">
      <formula>$G$6/100</formula>
    </cfRule>
  </conditionalFormatting>
  <conditionalFormatting sqref="G142:G147">
    <cfRule type="cellIs" dxfId="15" priority="15" operator="lessThan">
      <formula>$G$6/100</formula>
    </cfRule>
    <cfRule type="cellIs" dxfId="14" priority="16" operator="greaterThanOrEqual">
      <formula>$G$6/100</formula>
    </cfRule>
  </conditionalFormatting>
  <conditionalFormatting sqref="H142">
    <cfRule type="cellIs" dxfId="13" priority="13" operator="lessThan">
      <formula>$G$6/100</formula>
    </cfRule>
    <cfRule type="cellIs" dxfId="12" priority="14" operator="greaterThanOrEqual">
      <formula>$G$6/100</formula>
    </cfRule>
  </conditionalFormatting>
  <conditionalFormatting sqref="G152:G157">
    <cfRule type="cellIs" dxfId="11" priority="11" operator="lessThan">
      <formula>$G$6/100</formula>
    </cfRule>
    <cfRule type="cellIs" dxfId="10" priority="12" operator="greaterThanOrEqual">
      <formula>$G$6/100</formula>
    </cfRule>
  </conditionalFormatting>
  <conditionalFormatting sqref="H152">
    <cfRule type="cellIs" dxfId="9" priority="9" operator="lessThan">
      <formula>$G$6/100</formula>
    </cfRule>
    <cfRule type="cellIs" dxfId="8" priority="10" operator="greaterThanOrEqual">
      <formula>$G$6/100</formula>
    </cfRule>
  </conditionalFormatting>
  <conditionalFormatting sqref="G162:G167">
    <cfRule type="cellIs" dxfId="7" priority="7" operator="lessThan">
      <formula>$G$6/100</formula>
    </cfRule>
    <cfRule type="cellIs" dxfId="6" priority="8" operator="greaterThanOrEqual">
      <formula>$G$6/100</formula>
    </cfRule>
  </conditionalFormatting>
  <conditionalFormatting sqref="H162">
    <cfRule type="cellIs" dxfId="5" priority="5" operator="lessThan">
      <formula>$G$6/100</formula>
    </cfRule>
    <cfRule type="cellIs" dxfId="4" priority="6" operator="greaterThanOrEqual">
      <formula>$G$6/100</formula>
    </cfRule>
  </conditionalFormatting>
  <conditionalFormatting sqref="G172:G177">
    <cfRule type="cellIs" dxfId="3" priority="3" operator="lessThan">
      <formula>$G$6/100</formula>
    </cfRule>
    <cfRule type="cellIs" dxfId="2" priority="4" operator="greaterThanOrEqual">
      <formula>$G$6/100</formula>
    </cfRule>
  </conditionalFormatting>
  <conditionalFormatting sqref="H172">
    <cfRule type="cellIs" dxfId="1" priority="1" operator="lessThan">
      <formula>$G$6/100</formula>
    </cfRule>
    <cfRule type="cellIs" dxfId="0" priority="2" operator="greaterThanOrEqual">
      <formula>$G$6/100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Calibration result</vt:lpstr>
      <vt:lpstr>'Calibration result'!Print_Titles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2024-04-23T06:38:02Z</cp:lastPrinted>
  <dcterms:created xsi:type="dcterms:W3CDTF">2022-12-06T12:02:00Z</dcterms:created>
  <dcterms:modified xsi:type="dcterms:W3CDTF">2024-05-24T02:09:33Z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