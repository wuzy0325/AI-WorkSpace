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1_WTN\01-1604\az\data\1604V2\"/>
    </mc:Choice>
  </mc:AlternateContent>
  <xr:revisionPtr revIDLastSave="0" documentId="13_ncr:1_{79A274D0-21AC-448B-8819-9C57BF2619C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校准结果" sheetId="16" r:id="rId1"/>
  </sheets>
  <definedNames>
    <definedName name="_xlnm.Print_Titles" localSheetId="0">校准结果!$1:$4</definedName>
    <definedName name="单位">校准结果!$N$5</definedName>
    <definedName name="量程最大值">校准结果!$N$6</definedName>
    <definedName name="量程最小值">校准结果!$L$6</definedName>
    <definedName name="通道1">校准结果!$A$10</definedName>
    <definedName name="通道10">校准结果!$A$75</definedName>
    <definedName name="通道11">校准结果!$A$82</definedName>
    <definedName name="通道12">校准结果!$A$89</definedName>
    <definedName name="通道13">校准结果!$A$98</definedName>
    <definedName name="通道14">校准结果!$A$105</definedName>
    <definedName name="通道15">校准结果!$A$112</definedName>
    <definedName name="通道16">校准结果!$A$119</definedName>
    <definedName name="通道2">校准结果!$A$17</definedName>
    <definedName name="通道3">校准结果!$A$24</definedName>
    <definedName name="通道4">校准结果!$A$31</definedName>
    <definedName name="通道5">校准结果!$A$38</definedName>
    <definedName name="通道6">校准结果!$A$45</definedName>
    <definedName name="通道7">校准结果!$A$54</definedName>
    <definedName name="通道8">校准结果!$A$61</definedName>
    <definedName name="通道9">校准结果!$A$68</definedName>
    <definedName name="校准日期">校准结果!$L$5</definedName>
    <definedName name="准确度等级">校准结果!$J$6</definedName>
  </definedNames>
  <calcPr calcId="191029"/>
</workbook>
</file>

<file path=xl/calcChain.xml><?xml version="1.0" encoding="utf-8"?>
<calcChain xmlns="http://schemas.openxmlformats.org/spreadsheetml/2006/main">
  <c r="L121" i="16" l="1"/>
  <c r="J121" i="16"/>
  <c r="I121" i="16"/>
  <c r="L120" i="16"/>
  <c r="J120" i="16"/>
  <c r="I120" i="16"/>
  <c r="L119" i="16"/>
  <c r="M119" i="16" s="1"/>
  <c r="J119" i="16"/>
  <c r="K119" i="16" s="1"/>
  <c r="I119" i="16"/>
  <c r="I118" i="16"/>
  <c r="J116" i="16"/>
  <c r="L114" i="16"/>
  <c r="J114" i="16"/>
  <c r="I114" i="16"/>
  <c r="L113" i="16"/>
  <c r="J113" i="16"/>
  <c r="I113" i="16"/>
  <c r="L112" i="16"/>
  <c r="M112" i="16" s="1"/>
  <c r="J112" i="16"/>
  <c r="K112" i="16" s="1"/>
  <c r="I112" i="16"/>
  <c r="I111" i="16"/>
  <c r="J109" i="16"/>
  <c r="L107" i="16"/>
  <c r="J107" i="16"/>
  <c r="I107" i="16"/>
  <c r="L106" i="16"/>
  <c r="J106" i="16"/>
  <c r="I106" i="16"/>
  <c r="L105" i="16"/>
  <c r="M105" i="16" s="1"/>
  <c r="K105" i="16"/>
  <c r="J105" i="16"/>
  <c r="I105" i="16"/>
  <c r="I104" i="16"/>
  <c r="J102" i="16"/>
  <c r="L100" i="16"/>
  <c r="J100" i="16"/>
  <c r="I100" i="16"/>
  <c r="L99" i="16"/>
  <c r="J99" i="16"/>
  <c r="I99" i="16"/>
  <c r="L98" i="16"/>
  <c r="M98" i="16" s="1"/>
  <c r="J98" i="16"/>
  <c r="K98" i="16" s="1"/>
  <c r="I98" i="16"/>
  <c r="I97" i="16"/>
  <c r="J95" i="16"/>
  <c r="L91" i="16"/>
  <c r="J91" i="16"/>
  <c r="I91" i="16"/>
  <c r="L90" i="16"/>
  <c r="J90" i="16"/>
  <c r="I90" i="16"/>
  <c r="L89" i="16"/>
  <c r="M89" i="16" s="1"/>
  <c r="J89" i="16"/>
  <c r="K89" i="16" s="1"/>
  <c r="I89" i="16"/>
  <c r="I88" i="16"/>
  <c r="J86" i="16"/>
  <c r="L84" i="16"/>
  <c r="J84" i="16"/>
  <c r="I84" i="16"/>
  <c r="L83" i="16"/>
  <c r="J83" i="16"/>
  <c r="I83" i="16"/>
  <c r="L82" i="16"/>
  <c r="M82" i="16" s="1"/>
  <c r="J82" i="16"/>
  <c r="K82" i="16" s="1"/>
  <c r="I82" i="16"/>
  <c r="I81" i="16"/>
  <c r="J79" i="16"/>
  <c r="L77" i="16"/>
  <c r="J77" i="16"/>
  <c r="I77" i="16"/>
  <c r="L76" i="16"/>
  <c r="J76" i="16"/>
  <c r="I76" i="16"/>
  <c r="L75" i="16"/>
  <c r="M75" i="16" s="1"/>
  <c r="J75" i="16"/>
  <c r="K75" i="16" s="1"/>
  <c r="I75" i="16"/>
  <c r="I74" i="16"/>
  <c r="J72" i="16"/>
  <c r="L70" i="16"/>
  <c r="J70" i="16"/>
  <c r="I70" i="16"/>
  <c r="L69" i="16"/>
  <c r="J69" i="16"/>
  <c r="I69" i="16"/>
  <c r="L68" i="16"/>
  <c r="M68" i="16" s="1"/>
  <c r="J68" i="16"/>
  <c r="K68" i="16" s="1"/>
  <c r="I68" i="16"/>
  <c r="I67" i="16"/>
  <c r="J65" i="16"/>
  <c r="L63" i="16"/>
  <c r="J63" i="16"/>
  <c r="I63" i="16"/>
  <c r="L62" i="16"/>
  <c r="J62" i="16"/>
  <c r="I62" i="16"/>
  <c r="L61" i="16"/>
  <c r="M61" i="16" s="1"/>
  <c r="J61" i="16"/>
  <c r="K61" i="16" s="1"/>
  <c r="I61" i="16"/>
  <c r="I60" i="16"/>
  <c r="J58" i="16"/>
  <c r="L56" i="16"/>
  <c r="J56" i="16"/>
  <c r="I56" i="16"/>
  <c r="L55" i="16"/>
  <c r="J55" i="16"/>
  <c r="I55" i="16"/>
  <c r="L54" i="16"/>
  <c r="M54" i="16" s="1"/>
  <c r="J54" i="16"/>
  <c r="K54" i="16" s="1"/>
  <c r="I54" i="16"/>
  <c r="I53" i="16"/>
  <c r="J51" i="16"/>
  <c r="L47" i="16"/>
  <c r="J47" i="16"/>
  <c r="I47" i="16"/>
  <c r="L46" i="16"/>
  <c r="J46" i="16"/>
  <c r="I46" i="16"/>
  <c r="L45" i="16"/>
  <c r="M45" i="16" s="1"/>
  <c r="K45" i="16"/>
  <c r="J45" i="16"/>
  <c r="I45" i="16"/>
  <c r="I44" i="16"/>
  <c r="J42" i="16"/>
  <c r="L40" i="16"/>
  <c r="J40" i="16"/>
  <c r="I40" i="16"/>
  <c r="L39" i="16"/>
  <c r="J39" i="16"/>
  <c r="I39" i="16"/>
  <c r="L38" i="16"/>
  <c r="M38" i="16" s="1"/>
  <c r="J38" i="16"/>
  <c r="K38" i="16" s="1"/>
  <c r="I38" i="16"/>
  <c r="I37" i="16"/>
  <c r="J35" i="16"/>
  <c r="L33" i="16"/>
  <c r="J33" i="16"/>
  <c r="I33" i="16"/>
  <c r="L32" i="16"/>
  <c r="J32" i="16"/>
  <c r="I32" i="16"/>
  <c r="L31" i="16"/>
  <c r="M31" i="16" s="1"/>
  <c r="J31" i="16"/>
  <c r="K31" i="16" s="1"/>
  <c r="I31" i="16"/>
  <c r="I30" i="16"/>
  <c r="J28" i="16"/>
  <c r="L26" i="16"/>
  <c r="J26" i="16"/>
  <c r="I26" i="16"/>
  <c r="L25" i="16"/>
  <c r="J25" i="16"/>
  <c r="I25" i="16"/>
  <c r="L24" i="16"/>
  <c r="M24" i="16" s="1"/>
  <c r="J24" i="16"/>
  <c r="K24" i="16" s="1"/>
  <c r="I24" i="16"/>
  <c r="I23" i="16"/>
  <c r="J21" i="16"/>
  <c r="L19" i="16"/>
  <c r="J19" i="16"/>
  <c r="I19" i="16"/>
  <c r="L18" i="16"/>
  <c r="J18" i="16"/>
  <c r="I18" i="16"/>
  <c r="L17" i="16"/>
  <c r="M17" i="16" s="1"/>
  <c r="J17" i="16"/>
  <c r="K17" i="16" s="1"/>
  <c r="I17" i="16"/>
  <c r="I16" i="16"/>
  <c r="J14" i="16"/>
  <c r="D40" i="16"/>
  <c r="E40" i="16"/>
  <c r="D31" i="16"/>
  <c r="E31" i="16"/>
  <c r="D32" i="16"/>
  <c r="E32" i="16"/>
  <c r="E14" i="16"/>
  <c r="E116" i="16" l="1"/>
  <c r="E109" i="16"/>
  <c r="E102" i="16"/>
  <c r="E95" i="16"/>
  <c r="E86" i="16"/>
  <c r="E79" i="16"/>
  <c r="E72" i="16"/>
  <c r="E65" i="16"/>
  <c r="E58" i="16"/>
  <c r="E51" i="16"/>
  <c r="E42" i="16"/>
  <c r="E35" i="16"/>
  <c r="E28" i="16"/>
  <c r="E21" i="16"/>
  <c r="E7" i="16"/>
  <c r="I9" i="16"/>
  <c r="I11" i="16" l="1"/>
  <c r="I12" i="16"/>
  <c r="I10" i="16"/>
  <c r="J7" i="16"/>
  <c r="E121" i="16" l="1"/>
  <c r="D121" i="16"/>
  <c r="E120" i="16"/>
  <c r="D120" i="16"/>
  <c r="E119" i="16"/>
  <c r="D119" i="16"/>
  <c r="E114" i="16"/>
  <c r="D114" i="16"/>
  <c r="E113" i="16"/>
  <c r="D113" i="16"/>
  <c r="E112" i="16"/>
  <c r="D112" i="16"/>
  <c r="E107" i="16"/>
  <c r="D107" i="16"/>
  <c r="E106" i="16"/>
  <c r="D106" i="16"/>
  <c r="E105" i="16"/>
  <c r="D105" i="16"/>
  <c r="E100" i="16"/>
  <c r="D100" i="16"/>
  <c r="E99" i="16"/>
  <c r="D99" i="16"/>
  <c r="E98" i="16"/>
  <c r="D98" i="16"/>
  <c r="E91" i="16"/>
  <c r="D91" i="16"/>
  <c r="E90" i="16"/>
  <c r="D90" i="16"/>
  <c r="E89" i="16"/>
  <c r="D89" i="16"/>
  <c r="E84" i="16"/>
  <c r="D84" i="16"/>
  <c r="E83" i="16"/>
  <c r="D83" i="16"/>
  <c r="E82" i="16"/>
  <c r="D82" i="16"/>
  <c r="E77" i="16"/>
  <c r="D77" i="16"/>
  <c r="E76" i="16"/>
  <c r="D76" i="16"/>
  <c r="E75" i="16"/>
  <c r="D75" i="16"/>
  <c r="E70" i="16"/>
  <c r="D70" i="16"/>
  <c r="E69" i="16"/>
  <c r="D69" i="16"/>
  <c r="E68" i="16"/>
  <c r="D68" i="16"/>
  <c r="E63" i="16"/>
  <c r="D63" i="16"/>
  <c r="E62" i="16"/>
  <c r="D62" i="16"/>
  <c r="E61" i="16"/>
  <c r="D61" i="16"/>
  <c r="E56" i="16"/>
  <c r="D56" i="16"/>
  <c r="E55" i="16"/>
  <c r="D55" i="16"/>
  <c r="E54" i="16"/>
  <c r="D54" i="16"/>
  <c r="E47" i="16"/>
  <c r="D47" i="16"/>
  <c r="E46" i="16"/>
  <c r="D46" i="16"/>
  <c r="E45" i="16"/>
  <c r="D45" i="16"/>
  <c r="E39" i="16"/>
  <c r="D39" i="16"/>
  <c r="E38" i="16"/>
  <c r="D38" i="16"/>
  <c r="E33" i="16"/>
  <c r="D33" i="16"/>
  <c r="E26" i="16"/>
  <c r="D26" i="16"/>
  <c r="E25" i="16"/>
  <c r="D25" i="16"/>
  <c r="E24" i="16"/>
  <c r="D24" i="16"/>
  <c r="E19" i="16"/>
  <c r="D19" i="16"/>
  <c r="E18" i="16"/>
  <c r="D18" i="16"/>
  <c r="E17" i="16"/>
  <c r="D17" i="16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<sst xmlns="http://schemas.openxmlformats.org/spreadsheetml/2006/main" count="290" uniqueCount="47">
  <si>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</si>
  <si>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</si>
  <si>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</si>
  <si>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</si>
  <si>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r>
      <rPr>
        <sz val="11"/>
        <color theme="1"/>
        <rFont val="宋体"/>
        <family val="3"/>
        <charset val="134"/>
      </rPr>
      <t>正行程示值</t>
    </r>
    <phoneticPr fontId="8" type="noConversion"/>
  </si>
  <si>
    <r>
      <rPr>
        <sz val="11"/>
        <color theme="1"/>
        <rFont val="宋体"/>
        <family val="3"/>
        <charset val="134"/>
      </rPr>
      <t>反行程示值</t>
    </r>
    <phoneticPr fontId="8" type="noConversion"/>
  </si>
  <si>
    <t>CH1</t>
    <phoneticPr fontId="8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</si>
  <si>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</si>
  <si>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</si>
  <si>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</si>
  <si>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</si>
  <si>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</si>
  <si>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</si>
  <si>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</si>
  <si>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</si>
  <si>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</si>
  <si>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</si>
  <si>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</si>
  <si>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</si>
  <si>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</si>
  <si>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</si>
  <si>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</si>
  <si>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</si>
  <si>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</si>
  <si>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</si>
  <si>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单位：</t>
    <phoneticPr fontId="8" type="noConversion"/>
  </si>
  <si>
    <t>回程误差</t>
    <phoneticPr fontId="8" type="noConversion"/>
  </si>
  <si>
    <t>示值误差</t>
    <phoneticPr fontId="8" type="noConversion"/>
  </si>
  <si>
    <t>标准压力值</t>
    <phoneticPr fontId="8" type="noConversion"/>
  </si>
  <si>
    <t>被校设备显示值</t>
    <phoneticPr fontId="8" type="noConversion"/>
  </si>
  <si>
    <t>设备编号：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</si>
  <si>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</si>
  <si>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</si>
  <si>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</si>
  <si>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校准日期：</t>
    <phoneticPr fontId="8" type="noConversion"/>
  </si>
  <si>
    <t>丨示值误差丨
/满量程</t>
    <phoneticPr fontId="8" type="noConversion"/>
  </si>
  <si>
    <t>丨回程误差丨
/满量程</t>
    <phoneticPr fontId="8" type="noConversion"/>
  </si>
  <si>
    <t>备注</t>
    <phoneticPr fontId="8" type="noConversion"/>
  </si>
  <si>
    <t>Min量程：</t>
    <phoneticPr fontId="8" type="noConversion"/>
  </si>
  <si>
    <t>Max量程：</t>
    <phoneticPr fontId="8" type="noConversion"/>
  </si>
  <si>
    <t>校准单位：</t>
    <phoneticPr fontId="8" type="noConversion"/>
  </si>
  <si>
    <t>准确度等级：</t>
    <phoneticPr fontId="8" type="noConversion"/>
  </si>
  <si>
    <t>证书编号：</t>
    <phoneticPr fontId="8" type="noConversion"/>
  </si>
  <si>
    <t>Certificate No.</t>
    <phoneticPr fontId="8" type="noConversion"/>
  </si>
  <si>
    <t>不合格</t>
    <phoneticPr fontId="8" type="noConversion"/>
  </si>
  <si>
    <t>合格</t>
    <phoneticPr fontId="8" type="noConversion"/>
  </si>
  <si>
    <t>示例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</si>
</sst>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180" fontId="6" fillId="0" borderId="9" xfId="2" applyNumberFormat="1" applyFont="1" applyBorder="1" applyAlignment="1" applyProtection="1">
      <alignment horizontal="center" vertical="center" wrapText="1"/>
      <protection locked="0"/>
    </xf>
    <xf numFmtId="180" fontId="6" fillId="0" borderId="10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176" fontId="6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7" fillId="2" borderId="9" xfId="2" applyFont="1" applyFill="1" applyBorder="1" applyAlignment="1" applyProtection="1">
      <alignment horizontal="center" vertical="center" wrapText="1"/>
      <protection locked="0"/>
    </xf>
    <xf numFmtId="0" fontId="7" fillId="2" borderId="10" xfId="2" applyFont="1" applyFill="1" applyBorder="1" applyAlignment="1" applyProtection="1">
      <alignment horizontal="center" vertical="center" wrapText="1"/>
      <protection locked="0"/>
    </xf>
    <xf numFmtId="176" fontId="7" fillId="0" borderId="2" xfId="2" applyNumberFormat="1" applyFont="1" applyBorder="1" applyAlignment="1" applyProtection="1">
      <alignment horizontal="center" vertical="center" wrapText="1"/>
      <protection locked="0"/>
    </xf>
    <xf numFmtId="176" fontId="7" fillId="0" borderId="4" xfId="2" applyNumberFormat="1" applyFont="1" applyBorder="1" applyAlignment="1" applyProtection="1">
      <alignment horizontal="center" vertical="center" wrapText="1"/>
      <protection locked="0"/>
    </xf>
    <xf numFmtId="176" fontId="7" fillId="0" borderId="7" xfId="2" applyNumberFormat="1" applyFont="1" applyBorder="1" applyAlignment="1" applyProtection="1">
      <alignment horizontal="center" vertical="center" wrapText="1"/>
      <protection locked="0"/>
    </xf>
    <xf numFmtId="176" fontId="7" fillId="0" borderId="5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176" fontId="11" fillId="0" borderId="10" xfId="2" applyNumberFormat="1" applyFont="1" applyBorder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11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 xr:uid="{00000000-0005-0000-0000-000002000000}"/>
    <cellStyle name="常规 3" xfId="2" xr:uid="{00000000-0005-0000-0000-000003000000}"/>
    <cellStyle name="常规 4" xfId="3" xr:uid="{00000000-0005-0000-0000-000004000000}"/>
    <cellStyle name="常规 5" xfId="4" xr:uid="{00000000-0005-0000-0000-000005000000}"/>
  </cellStyles>
  <dxfs count="1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122</xdr:row>
      <xdr:rowOff>171450</xdr:rowOff>
    </xdr:from>
    <xdr:to>
      <xdr:col>3</xdr:col>
      <xdr:colOff>949325</xdr:colOff>
      <xdr:row>122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"/>
  <sheetViews>
    <sheetView tabSelected="1" topLeftCell="A88" zoomScaleNormal="100" workbookViewId="0">
      <selection activeCell="A124" sqref="A124:G124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42</v>
      </c>
      <c r="F1" s="52"/>
      <c r="G1" s="52"/>
      <c r="L1" s="72" t="s">
        <v>46</v>
      </c>
      <c r="M1" s="19" t="s">
        <v>44</v>
      </c>
      <c r="N1" s="19" t="s">
        <v>45</v>
      </c>
    </row>
    <row r="2" spans="1:15" ht="15" customHeight="1" x14ac:dyDescent="0.15">
      <c r="E2" s="3" t="s">
        <v>43</v>
      </c>
      <c r="F2" s="3"/>
      <c r="L2" s="73"/>
      <c r="M2" s="14">
        <v>5.4000000000000001E-4</v>
      </c>
      <c r="N2" s="14">
        <v>1E-4</v>
      </c>
    </row>
    <row r="3" spans="1:15" ht="23.1" customHeight="1" x14ac:dyDescent="0.15">
      <c r="A3" s="56" t="s">
        <v>23</v>
      </c>
      <c r="B3" s="57"/>
      <c r="C3" s="57"/>
      <c r="D3" s="57"/>
      <c r="E3" s="57"/>
      <c r="F3" s="57"/>
      <c r="G3" s="57"/>
      <c r="I3" s="56" t="s">
        <v>24</v>
      </c>
      <c r="J3" s="56"/>
      <c r="K3" s="56"/>
      <c r="L3" s="56"/>
      <c r="M3" s="56"/>
      <c r="N3" s="15"/>
      <c r="O3" s="15"/>
    </row>
    <row r="4" spans="1:15" ht="11.1" customHeight="1" x14ac:dyDescent="0.15">
      <c r="A4" s="58" t="s">
        <v>0</v>
      </c>
      <c r="B4" s="58"/>
      <c r="C4" s="58"/>
      <c r="D4" s="58"/>
      <c r="E4" s="58"/>
      <c r="F4" s="58"/>
      <c r="G4" s="58"/>
      <c r="I4" s="54" t="s">
        <v>33</v>
      </c>
      <c r="J4" s="54"/>
      <c r="K4" s="54"/>
      <c r="L4" s="54"/>
      <c r="M4" s="54"/>
    </row>
    <row r="5" spans="1:15" ht="15" customHeight="1" x14ac:dyDescent="0.15">
      <c r="A5" s="2"/>
      <c r="B5" s="2"/>
      <c r="C5" s="2"/>
      <c r="D5" s="2"/>
      <c r="E5" s="2"/>
      <c r="F5" s="2"/>
      <c r="G5" s="2"/>
      <c r="I5" s="22" t="s">
        <v>30</v>
      </c>
      <c r="J5" s="21"/>
      <c r="K5" s="22" t="s">
        <v>34</v>
      </c>
      <c r="L5" s="20"/>
      <c r="M5" s="22" t="s">
        <v>40</v>
      </c>
      <c r="N5" s="21" t="s">
        <v>32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41</v>
      </c>
      <c r="J6" s="17">
        <v>0.05</v>
      </c>
      <c r="K6" s="22" t="s">
        <v>38</v>
      </c>
      <c r="L6" s="16">
        <v>0</v>
      </c>
      <c r="M6" s="22" t="s">
        <v>39</v>
      </c>
      <c r="N6" s="17">
        <v>100</v>
      </c>
    </row>
    <row r="7" spans="1:15" s="6" customFormat="1" ht="18.600000000000001" customHeight="1" x14ac:dyDescent="0.15">
      <c r="A7" s="11" t="s">
        <v>7</v>
      </c>
      <c r="B7" s="5" t="s">
        <v>6</v>
      </c>
      <c r="C7" s="11"/>
      <c r="D7" s="12" t="s">
        <v>25</v>
      </c>
      <c r="E7" s="40" t="str">
        <f>$N$5</f>
        <v>psi</v>
      </c>
      <c r="F7" s="40"/>
      <c r="G7" s="4"/>
      <c r="I7" s="18" t="s">
        <v>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59" t="s">
        <v>28</v>
      </c>
      <c r="B8" s="41" t="s">
        <v>29</v>
      </c>
      <c r="C8" s="43"/>
      <c r="D8" s="44" t="s">
        <v>27</v>
      </c>
      <c r="E8" s="46" t="s">
        <v>26</v>
      </c>
      <c r="F8" s="47"/>
      <c r="G8" s="37" t="s">
        <v>3</v>
      </c>
      <c r="I8" s="36" t="s">
        <v>28</v>
      </c>
      <c r="J8" s="70" t="s">
        <v>35</v>
      </c>
      <c r="K8" s="67" t="s">
        <v>31</v>
      </c>
      <c r="L8" s="68" t="s">
        <v>36</v>
      </c>
      <c r="M8" s="69" t="s">
        <v>31</v>
      </c>
      <c r="N8" s="71" t="s">
        <v>37</v>
      </c>
    </row>
    <row r="9" spans="1:15" s="6" customFormat="1" x14ac:dyDescent="0.15">
      <c r="A9" s="41"/>
      <c r="B9" s="8" t="s">
        <v>4</v>
      </c>
      <c r="C9" s="9" t="s">
        <v>5</v>
      </c>
      <c r="D9" s="45"/>
      <c r="E9" s="48"/>
      <c r="F9" s="49"/>
      <c r="G9" s="38"/>
      <c r="I9" s="35" t="str">
        <f>"（"&amp;$N$5&amp;"）"</f>
        <v>（psi）</v>
      </c>
      <c r="J9" s="66"/>
      <c r="K9" s="67"/>
      <c r="L9" s="68"/>
      <c r="M9" s="69"/>
      <c r="N9" s="69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39">
        <f>ABS(B10-C10)</f>
        <v>0</v>
      </c>
      <c r="F10" s="39"/>
      <c r="G10" s="10">
        <v>1.2999999999999999E-2</v>
      </c>
      <c r="I10" s="26">
        <f t="shared" ref="I10:I12" si="0">A10</f>
        <v>0</v>
      </c>
      <c r="J10" s="14">
        <f>ABS(D10)/($N$6-$L$6)</f>
        <v>0</v>
      </c>
      <c r="K10" s="74">
        <f>MAX(J10:J12)</f>
        <v>0</v>
      </c>
      <c r="L10" s="14">
        <f>ABS(E10)/($N$6-$L$6)</f>
        <v>0</v>
      </c>
      <c r="M10" s="74">
        <f>MAX(L10:L12)</f>
        <v>0</v>
      </c>
      <c r="N10" s="69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2" si="1">IF(ABS(B11-A11)&gt;ABS(C11-A11),B11-A11,C11-A11)</f>
        <v>0</v>
      </c>
      <c r="E11" s="39">
        <f t="shared" ref="E11:E12" si="2">ABS(B11-C11)</f>
        <v>0</v>
      </c>
      <c r="F11" s="39"/>
      <c r="G11" s="10">
        <v>1.2999999999999999E-2</v>
      </c>
      <c r="I11" s="26">
        <f t="shared" si="0"/>
        <v>0</v>
      </c>
      <c r="J11" s="14">
        <f t="shared" ref="J11:J12" si="3">ABS(D11)/($N$6-$L$6)</f>
        <v>0</v>
      </c>
      <c r="K11" s="75"/>
      <c r="L11" s="14">
        <f t="shared" ref="L11:L12" si="4">ABS(E11)/($N$6-$L$6)</f>
        <v>0</v>
      </c>
      <c r="M11" s="75"/>
      <c r="N11" s="69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39">
        <f t="shared" si="2"/>
        <v>0</v>
      </c>
      <c r="F12" s="39"/>
      <c r="G12" s="10">
        <v>1.2999999999999999E-2</v>
      </c>
      <c r="I12" s="26">
        <f t="shared" si="0"/>
        <v>0</v>
      </c>
      <c r="J12" s="14">
        <f t="shared" si="3"/>
        <v>0</v>
      </c>
      <c r="K12" s="76"/>
      <c r="L12" s="14">
        <f t="shared" si="4"/>
        <v>0</v>
      </c>
      <c r="M12" s="76"/>
      <c r="N12" s="69"/>
    </row>
    <row r="13" spans="1:15" s="6" customFormat="1" x14ac:dyDescent="0.15">
      <c r="A13" s="28"/>
      <c r="B13" s="28"/>
      <c r="C13" s="29"/>
      <c r="D13" s="30"/>
      <c r="E13" s="30"/>
      <c r="F13" s="30"/>
      <c r="G13" s="31"/>
      <c r="I13" s="32"/>
      <c r="J13" s="32"/>
      <c r="K13" s="32"/>
      <c r="L13" s="32"/>
      <c r="M13" s="33"/>
      <c r="N13" s="34"/>
    </row>
    <row r="14" spans="1:15" x14ac:dyDescent="0.15">
      <c r="A14" s="11" t="s">
        <v>7</v>
      </c>
      <c r="B14" s="5" t="s">
        <v>8</v>
      </c>
      <c r="C14" s="11"/>
      <c r="D14" s="12" t="s">
        <v>25</v>
      </c>
      <c r="E14" s="40" t="str">
        <f>$N$5</f>
        <v>psi</v>
      </c>
      <c r="F14" s="40"/>
      <c r="G14" s="4"/>
      <c r="I14" s="18" t="s">
        <v>7</v>
      </c>
      <c r="J14" s="13" t="str">
        <f>B14</f>
        <v>CH2</v>
      </c>
      <c r="K14" s="6"/>
      <c r="L14" s="12"/>
      <c r="M14" s="5"/>
      <c r="N14" s="13"/>
    </row>
    <row r="15" spans="1:15" ht="15" customHeight="1" x14ac:dyDescent="0.15">
      <c r="A15" s="41" t="s">
        <v>28</v>
      </c>
      <c r="B15" s="41" t="s">
        <v>29</v>
      </c>
      <c r="C15" s="43"/>
      <c r="D15" s="44" t="s">
        <v>27</v>
      </c>
      <c r="E15" s="46" t="s">
        <v>26</v>
      </c>
      <c r="F15" s="47"/>
      <c r="G15" s="37" t="s">
        <v>3</v>
      </c>
      <c r="I15" s="36" t="s">
        <v>28</v>
      </c>
      <c r="J15" s="70" t="s">
        <v>35</v>
      </c>
      <c r="K15" s="67" t="s">
        <v>31</v>
      </c>
      <c r="L15" s="68" t="s">
        <v>36</v>
      </c>
      <c r="M15" s="69" t="s">
        <v>31</v>
      </c>
      <c r="N15" s="71" t="s">
        <v>37</v>
      </c>
    </row>
    <row r="16" spans="1:15" x14ac:dyDescent="0.15">
      <c r="A16" s="42"/>
      <c r="B16" s="8" t="s">
        <v>4</v>
      </c>
      <c r="C16" s="9" t="s">
        <v>5</v>
      </c>
      <c r="D16" s="45"/>
      <c r="E16" s="48"/>
      <c r="F16" s="49"/>
      <c r="G16" s="38"/>
      <c r="I16" s="35" t="str">
        <f>"（"&amp;$N$5&amp;"）"</f>
        <v>（psi）</v>
      </c>
      <c r="J16" s="66"/>
      <c r="K16" s="67"/>
      <c r="L16" s="68"/>
      <c r="M16" s="69"/>
      <c r="N16" s="69"/>
    </row>
    <row r="17" spans="1:14" x14ac:dyDescent="0.15">
      <c r="A17" s="23">
        <v>0</v>
      </c>
      <c r="B17" s="23">
        <v>0</v>
      </c>
      <c r="C17" s="24">
        <v>0</v>
      </c>
      <c r="D17" s="25">
        <f>IF(ABS(B17-A17)&gt;ABS(C17-A17),B17-A17,C17-A17)</f>
        <v>0</v>
      </c>
      <c r="E17" s="39">
        <f>ABS(B17-C17)</f>
        <v>0</v>
      </c>
      <c r="F17" s="39"/>
      <c r="G17" s="10">
        <v>1.2999999999999999E-2</v>
      </c>
      <c r="I17" s="26">
        <f t="shared" ref="I17:I19" si="5">A17</f>
        <v>0</v>
      </c>
      <c r="J17" s="14">
        <f>ABS(D17)/($N$6-$L$6)</f>
        <v>0</v>
      </c>
      <c r="K17" s="74">
        <f>MAX(J17:J19)</f>
        <v>0</v>
      </c>
      <c r="L17" s="14">
        <f>ABS(E17)/($N$6-$L$6)</f>
        <v>0</v>
      </c>
      <c r="M17" s="74">
        <f>MAX(L17:L19)</f>
        <v>0</v>
      </c>
      <c r="N17" s="69"/>
    </row>
    <row r="18" spans="1:14" x14ac:dyDescent="0.15">
      <c r="A18" s="23">
        <v>0</v>
      </c>
      <c r="B18" s="23">
        <v>0</v>
      </c>
      <c r="C18" s="24">
        <v>0</v>
      </c>
      <c r="D18" s="25">
        <f t="shared" ref="D18:D19" si="6">IF(ABS(B18-A18)&gt;ABS(C18-A18),B18-A18,C18-A18)</f>
        <v>0</v>
      </c>
      <c r="E18" s="39">
        <f t="shared" ref="E18:E19" si="7">ABS(B18-C18)</f>
        <v>0</v>
      </c>
      <c r="F18" s="39"/>
      <c r="G18" s="10">
        <v>1.2999999999999999E-2</v>
      </c>
      <c r="I18" s="26">
        <f t="shared" si="5"/>
        <v>0</v>
      </c>
      <c r="J18" s="14">
        <f t="shared" ref="J18:J19" si="8">ABS(D18)/($N$6-$L$6)</f>
        <v>0</v>
      </c>
      <c r="K18" s="75"/>
      <c r="L18" s="14">
        <f t="shared" ref="L18:L19" si="9">ABS(E18)/($N$6-$L$6)</f>
        <v>0</v>
      </c>
      <c r="M18" s="75"/>
      <c r="N18" s="69"/>
    </row>
    <row r="19" spans="1:14" x14ac:dyDescent="0.15">
      <c r="A19" s="23">
        <v>0</v>
      </c>
      <c r="B19" s="23">
        <v>0</v>
      </c>
      <c r="C19" s="24">
        <v>0</v>
      </c>
      <c r="D19" s="25">
        <f t="shared" si="6"/>
        <v>0</v>
      </c>
      <c r="E19" s="39">
        <f t="shared" si="7"/>
        <v>0</v>
      </c>
      <c r="F19" s="39"/>
      <c r="G19" s="10">
        <v>1.2999999999999999E-2</v>
      </c>
      <c r="I19" s="26">
        <f t="shared" si="5"/>
        <v>0</v>
      </c>
      <c r="J19" s="14">
        <f t="shared" si="8"/>
        <v>0</v>
      </c>
      <c r="K19" s="76"/>
      <c r="L19" s="14">
        <f t="shared" si="9"/>
        <v>0</v>
      </c>
      <c r="M19" s="76"/>
      <c r="N19" s="69"/>
    </row>
    <row r="20" spans="1:14" x14ac:dyDescent="0.15">
      <c r="A20" s="28"/>
      <c r="B20" s="28"/>
      <c r="C20" s="29"/>
      <c r="D20" s="30"/>
      <c r="E20" s="30"/>
      <c r="F20" s="30"/>
      <c r="G20" s="31"/>
      <c r="I20" s="32"/>
      <c r="J20" s="32"/>
      <c r="K20" s="32"/>
      <c r="L20" s="32"/>
      <c r="M20" s="32"/>
      <c r="N20" s="34"/>
    </row>
    <row r="21" spans="1:14" x14ac:dyDescent="0.15">
      <c r="A21" s="11" t="s">
        <v>7</v>
      </c>
      <c r="B21" s="5" t="s">
        <v>9</v>
      </c>
      <c r="C21" s="11"/>
      <c r="D21" s="12" t="s">
        <v>25</v>
      </c>
      <c r="E21" s="40" t="str">
        <f>$N$5</f>
        <v>psi</v>
      </c>
      <c r="F21" s="40"/>
      <c r="G21" s="4"/>
      <c r="I21" s="18" t="s">
        <v>7</v>
      </c>
      <c r="J21" s="13" t="str">
        <f>B21</f>
        <v>CH3</v>
      </c>
      <c r="K21" s="6"/>
      <c r="L21" s="12"/>
      <c r="M21" s="5"/>
      <c r="N21" s="13"/>
    </row>
    <row r="22" spans="1:14" ht="15" customHeight="1" x14ac:dyDescent="0.15">
      <c r="A22" s="59" t="s">
        <v>28</v>
      </c>
      <c r="B22" s="60" t="s">
        <v>29</v>
      </c>
      <c r="C22" s="61"/>
      <c r="D22" s="62" t="s">
        <v>27</v>
      </c>
      <c r="E22" s="46" t="s">
        <v>26</v>
      </c>
      <c r="F22" s="63"/>
      <c r="G22" s="53" t="s">
        <v>3</v>
      </c>
      <c r="I22" s="36" t="s">
        <v>28</v>
      </c>
      <c r="J22" s="70" t="s">
        <v>35</v>
      </c>
      <c r="K22" s="67" t="s">
        <v>31</v>
      </c>
      <c r="L22" s="68" t="s">
        <v>36</v>
      </c>
      <c r="M22" s="69" t="s">
        <v>31</v>
      </c>
      <c r="N22" s="71" t="s">
        <v>37</v>
      </c>
    </row>
    <row r="23" spans="1:14" x14ac:dyDescent="0.15">
      <c r="A23" s="41"/>
      <c r="B23" s="8" t="s">
        <v>4</v>
      </c>
      <c r="C23" s="9" t="s">
        <v>5</v>
      </c>
      <c r="D23" s="44"/>
      <c r="E23" s="64"/>
      <c r="F23" s="65"/>
      <c r="G23" s="37"/>
      <c r="I23" s="35" t="str">
        <f>"（"&amp;$N$5&amp;"）"</f>
        <v>（psi）</v>
      </c>
      <c r="J23" s="66"/>
      <c r="K23" s="67"/>
      <c r="L23" s="68"/>
      <c r="M23" s="69"/>
      <c r="N23" s="69"/>
    </row>
    <row r="24" spans="1:14" x14ac:dyDescent="0.15">
      <c r="A24" s="23">
        <v>0</v>
      </c>
      <c r="B24" s="23">
        <v>0</v>
      </c>
      <c r="C24" s="24">
        <v>0</v>
      </c>
      <c r="D24" s="25">
        <f>IF(ABS(B24-A24)&gt;ABS(C24-A24),B24-A24,C24-A24)</f>
        <v>0</v>
      </c>
      <c r="E24" s="39">
        <f>ABS(B24-C24)</f>
        <v>0</v>
      </c>
      <c r="F24" s="39"/>
      <c r="G24" s="10">
        <v>1.2999999999999999E-2</v>
      </c>
      <c r="I24" s="26">
        <f t="shared" ref="I24:I26" si="10">A24</f>
        <v>0</v>
      </c>
      <c r="J24" s="14">
        <f>ABS(D24)/($N$6-$L$6)</f>
        <v>0</v>
      </c>
      <c r="K24" s="74">
        <f>MAX(J24:J26)</f>
        <v>0</v>
      </c>
      <c r="L24" s="14">
        <f>ABS(E24)/($N$6-$L$6)</f>
        <v>0</v>
      </c>
      <c r="M24" s="74">
        <f>MAX(L24:L26)</f>
        <v>0</v>
      </c>
      <c r="N24" s="69"/>
    </row>
    <row r="25" spans="1:14" x14ac:dyDescent="0.15">
      <c r="A25" s="23">
        <v>0</v>
      </c>
      <c r="B25" s="23">
        <v>0</v>
      </c>
      <c r="C25" s="24">
        <v>0</v>
      </c>
      <c r="D25" s="25">
        <f t="shared" ref="D25:D26" si="11">IF(ABS(B25-A25)&gt;ABS(C25-A25),B25-A25,C25-A25)</f>
        <v>0</v>
      </c>
      <c r="E25" s="39">
        <f t="shared" ref="E25:E26" si="12">ABS(B25-C25)</f>
        <v>0</v>
      </c>
      <c r="F25" s="39"/>
      <c r="G25" s="10">
        <v>1.2999999999999999E-2</v>
      </c>
      <c r="I25" s="26">
        <f t="shared" si="10"/>
        <v>0</v>
      </c>
      <c r="J25" s="14">
        <f t="shared" ref="J25:J26" si="13">ABS(D25)/($N$6-$L$6)</f>
        <v>0</v>
      </c>
      <c r="K25" s="75"/>
      <c r="L25" s="14">
        <f t="shared" ref="L25:L26" si="14">ABS(E25)/($N$6-$L$6)</f>
        <v>0</v>
      </c>
      <c r="M25" s="75"/>
      <c r="N25" s="69"/>
    </row>
    <row r="26" spans="1:14" x14ac:dyDescent="0.15">
      <c r="A26" s="23">
        <v>0</v>
      </c>
      <c r="B26" s="23">
        <v>0</v>
      </c>
      <c r="C26" s="24">
        <v>0</v>
      </c>
      <c r="D26" s="25">
        <f t="shared" si="11"/>
        <v>0</v>
      </c>
      <c r="E26" s="39">
        <f t="shared" si="12"/>
        <v>0</v>
      </c>
      <c r="F26" s="39"/>
      <c r="G26" s="10">
        <v>1.2999999999999999E-2</v>
      </c>
      <c r="I26" s="26">
        <f t="shared" si="10"/>
        <v>0</v>
      </c>
      <c r="J26" s="14">
        <f t="shared" si="13"/>
        <v>0</v>
      </c>
      <c r="K26" s="76"/>
      <c r="L26" s="14">
        <f t="shared" si="14"/>
        <v>0</v>
      </c>
      <c r="M26" s="76"/>
      <c r="N26" s="69"/>
    </row>
    <row r="27" spans="1:14" x14ac:dyDescent="0.15">
      <c r="A27" s="28"/>
      <c r="B27" s="28"/>
      <c r="C27" s="29"/>
      <c r="D27" s="30"/>
      <c r="E27" s="30"/>
      <c r="F27" s="30"/>
      <c r="G27" s="31"/>
      <c r="I27" s="32"/>
      <c r="J27" s="32"/>
      <c r="K27" s="32"/>
      <c r="L27" s="32"/>
      <c r="M27" s="33"/>
      <c r="N27" s="34"/>
    </row>
    <row r="28" spans="1:14" x14ac:dyDescent="0.15">
      <c r="A28" s="11" t="s">
        <v>7</v>
      </c>
      <c r="B28" s="5" t="s">
        <v>10</v>
      </c>
      <c r="C28" s="11"/>
      <c r="D28" s="12" t="s">
        <v>25</v>
      </c>
      <c r="E28" s="40" t="str">
        <f>$N$5</f>
        <v>psi</v>
      </c>
      <c r="F28" s="40"/>
      <c r="G28" s="4"/>
      <c r="I28" s="18" t="s">
        <v>7</v>
      </c>
      <c r="J28" s="13" t="str">
        <f>B28</f>
        <v>CH4</v>
      </c>
      <c r="K28" s="6"/>
      <c r="L28" s="12"/>
      <c r="M28" s="5"/>
      <c r="N28" s="13"/>
    </row>
    <row r="29" spans="1:14" ht="15" customHeight="1" x14ac:dyDescent="0.15">
      <c r="A29" s="41" t="s">
        <v>28</v>
      </c>
      <c r="B29" s="41" t="s">
        <v>29</v>
      </c>
      <c r="C29" s="43"/>
      <c r="D29" s="44" t="s">
        <v>27</v>
      </c>
      <c r="E29" s="46" t="s">
        <v>26</v>
      </c>
      <c r="F29" s="47"/>
      <c r="G29" s="37" t="s">
        <v>3</v>
      </c>
      <c r="I29" s="36" t="s">
        <v>28</v>
      </c>
      <c r="J29" s="70" t="s">
        <v>35</v>
      </c>
      <c r="K29" s="67" t="s">
        <v>31</v>
      </c>
      <c r="L29" s="68" t="s">
        <v>36</v>
      </c>
      <c r="M29" s="69" t="s">
        <v>31</v>
      </c>
      <c r="N29" s="71" t="s">
        <v>37</v>
      </c>
    </row>
    <row r="30" spans="1:14" x14ac:dyDescent="0.15">
      <c r="A30" s="42"/>
      <c r="B30" s="8" t="s">
        <v>4</v>
      </c>
      <c r="C30" s="9" t="s">
        <v>5</v>
      </c>
      <c r="D30" s="45"/>
      <c r="E30" s="48"/>
      <c r="F30" s="49"/>
      <c r="G30" s="38"/>
      <c r="I30" s="35" t="str">
        <f>"（"&amp;$N$5&amp;"）"</f>
        <v>（psi）</v>
      </c>
      <c r="J30" s="66"/>
      <c r="K30" s="67"/>
      <c r="L30" s="68"/>
      <c r="M30" s="69"/>
      <c r="N30" s="69"/>
    </row>
    <row r="31" spans="1:14" x14ac:dyDescent="0.15">
      <c r="A31" s="23">
        <v>0</v>
      </c>
      <c r="B31" s="23">
        <v>0</v>
      </c>
      <c r="C31" s="24">
        <v>0</v>
      </c>
      <c r="D31" s="25">
        <f>IF(ABS(B31-A31)&gt;ABS(C31-A31),B31-A31,C31-A31)</f>
        <v>0</v>
      </c>
      <c r="E31" s="50">
        <f>ABS(B31-C31)</f>
        <v>0</v>
      </c>
      <c r="F31" s="51"/>
      <c r="G31" s="10">
        <v>1.2999999999999999E-2</v>
      </c>
      <c r="I31" s="26">
        <f t="shared" ref="I31:I33" si="15">A31</f>
        <v>0</v>
      </c>
      <c r="J31" s="14">
        <f>ABS(D31)/($N$6-$L$6)</f>
        <v>0</v>
      </c>
      <c r="K31" s="74">
        <f>MAX(J31:J33)</f>
        <v>0</v>
      </c>
      <c r="L31" s="14">
        <f>ABS(E31)/($N$6-$L$6)</f>
        <v>0</v>
      </c>
      <c r="M31" s="74">
        <f>MAX(L31:L33)</f>
        <v>0</v>
      </c>
      <c r="N31" s="69"/>
    </row>
    <row r="32" spans="1:14" x14ac:dyDescent="0.15">
      <c r="A32" s="23">
        <v>0</v>
      </c>
      <c r="B32" s="23">
        <v>0</v>
      </c>
      <c r="C32" s="24">
        <v>0</v>
      </c>
      <c r="D32" s="25">
        <f t="shared" ref="D32:D33" si="16">IF(ABS(B32-A32)&gt;ABS(C32-A32),B32-A32,C32-A32)</f>
        <v>0</v>
      </c>
      <c r="E32" s="50">
        <f t="shared" ref="E32:E33" si="17">ABS(B32-C32)</f>
        <v>0</v>
      </c>
      <c r="F32" s="51"/>
      <c r="G32" s="10">
        <v>1.2999999999999999E-2</v>
      </c>
      <c r="I32" s="26">
        <f t="shared" si="15"/>
        <v>0</v>
      </c>
      <c r="J32" s="14">
        <f t="shared" ref="J32:J33" si="18">ABS(D32)/($N$6-$L$6)</f>
        <v>0</v>
      </c>
      <c r="K32" s="75"/>
      <c r="L32" s="14">
        <f t="shared" ref="L32:L33" si="19">ABS(E32)/($N$6-$L$6)</f>
        <v>0</v>
      </c>
      <c r="M32" s="75"/>
      <c r="N32" s="69"/>
    </row>
    <row r="33" spans="1:14" x14ac:dyDescent="0.15">
      <c r="A33" s="23">
        <v>0</v>
      </c>
      <c r="B33" s="23">
        <v>0</v>
      </c>
      <c r="C33" s="24">
        <v>0</v>
      </c>
      <c r="D33" s="25">
        <f t="shared" si="16"/>
        <v>0</v>
      </c>
      <c r="E33" s="39">
        <f t="shared" si="17"/>
        <v>0</v>
      </c>
      <c r="F33" s="39"/>
      <c r="G33" s="10">
        <v>1.2999999999999999E-2</v>
      </c>
      <c r="I33" s="26">
        <f t="shared" si="15"/>
        <v>0</v>
      </c>
      <c r="J33" s="14">
        <f t="shared" si="18"/>
        <v>0</v>
      </c>
      <c r="K33" s="76"/>
      <c r="L33" s="14">
        <f t="shared" si="19"/>
        <v>0</v>
      </c>
      <c r="M33" s="76"/>
      <c r="N33" s="69"/>
    </row>
    <row r="34" spans="1:14" x14ac:dyDescent="0.15">
      <c r="A34" s="28"/>
      <c r="B34" s="28"/>
      <c r="C34" s="29"/>
      <c r="D34" s="30"/>
      <c r="E34" s="30"/>
      <c r="F34" s="30"/>
      <c r="G34" s="31"/>
      <c r="I34" s="32"/>
      <c r="J34" s="32"/>
      <c r="K34" s="32"/>
      <c r="L34" s="32"/>
      <c r="M34" s="32"/>
      <c r="N34" s="34"/>
    </row>
    <row r="35" spans="1:14" x14ac:dyDescent="0.15">
      <c r="A35" s="11" t="s">
        <v>7</v>
      </c>
      <c r="B35" s="5" t="s">
        <v>11</v>
      </c>
      <c r="C35" s="11"/>
      <c r="D35" s="12" t="s">
        <v>25</v>
      </c>
      <c r="E35" s="40" t="str">
        <f>$N$5</f>
        <v>psi</v>
      </c>
      <c r="F35" s="40"/>
      <c r="G35" s="4"/>
      <c r="I35" s="18" t="s">
        <v>7</v>
      </c>
      <c r="J35" s="13" t="str">
        <f>B35</f>
        <v>CH5</v>
      </c>
      <c r="K35" s="6"/>
      <c r="L35" s="12"/>
      <c r="M35" s="5"/>
      <c r="N35" s="13"/>
    </row>
    <row r="36" spans="1:14" ht="15" customHeight="1" x14ac:dyDescent="0.15">
      <c r="A36" s="41" t="s">
        <v>28</v>
      </c>
      <c r="B36" s="41" t="s">
        <v>29</v>
      </c>
      <c r="C36" s="43"/>
      <c r="D36" s="44" t="s">
        <v>27</v>
      </c>
      <c r="E36" s="46" t="s">
        <v>26</v>
      </c>
      <c r="F36" s="47"/>
      <c r="G36" s="37" t="s">
        <v>3</v>
      </c>
      <c r="I36" s="36" t="s">
        <v>28</v>
      </c>
      <c r="J36" s="70" t="s">
        <v>35</v>
      </c>
      <c r="K36" s="67" t="s">
        <v>31</v>
      </c>
      <c r="L36" s="68" t="s">
        <v>36</v>
      </c>
      <c r="M36" s="69" t="s">
        <v>31</v>
      </c>
      <c r="N36" s="71" t="s">
        <v>37</v>
      </c>
    </row>
    <row r="37" spans="1:14" x14ac:dyDescent="0.15">
      <c r="A37" s="42"/>
      <c r="B37" s="8" t="s">
        <v>4</v>
      </c>
      <c r="C37" s="9" t="s">
        <v>5</v>
      </c>
      <c r="D37" s="45"/>
      <c r="E37" s="48"/>
      <c r="F37" s="49"/>
      <c r="G37" s="38"/>
      <c r="I37" s="35" t="str">
        <f>"（"&amp;$N$5&amp;"）"</f>
        <v>（psi）</v>
      </c>
      <c r="J37" s="66"/>
      <c r="K37" s="67"/>
      <c r="L37" s="68"/>
      <c r="M37" s="69"/>
      <c r="N37" s="69"/>
    </row>
    <row r="38" spans="1:14" x14ac:dyDescent="0.15">
      <c r="A38" s="23">
        <v>0</v>
      </c>
      <c r="B38" s="23">
        <v>0</v>
      </c>
      <c r="C38" s="24">
        <v>0</v>
      </c>
      <c r="D38" s="25">
        <f>IF(ABS(B38-A38)&gt;ABS(C38-A38),B38-A38,C38-A38)</f>
        <v>0</v>
      </c>
      <c r="E38" s="39">
        <f>ABS(B38-C38)</f>
        <v>0</v>
      </c>
      <c r="F38" s="39"/>
      <c r="G38" s="10">
        <v>1.2999999999999999E-2</v>
      </c>
      <c r="I38" s="26">
        <f t="shared" ref="I38:I40" si="20">A38</f>
        <v>0</v>
      </c>
      <c r="J38" s="14">
        <f>ABS(D38)/($N$6-$L$6)</f>
        <v>0</v>
      </c>
      <c r="K38" s="74">
        <f>MAX(J38:J40)</f>
        <v>0</v>
      </c>
      <c r="L38" s="14">
        <f>ABS(E38)/($N$6-$L$6)</f>
        <v>0</v>
      </c>
      <c r="M38" s="74">
        <f>MAX(L38:L40)</f>
        <v>0</v>
      </c>
      <c r="N38" s="69"/>
    </row>
    <row r="39" spans="1:14" x14ac:dyDescent="0.15">
      <c r="A39" s="23">
        <v>0</v>
      </c>
      <c r="B39" s="23">
        <v>0</v>
      </c>
      <c r="C39" s="24">
        <v>0</v>
      </c>
      <c r="D39" s="25">
        <f t="shared" ref="D39:D40" si="21">IF(ABS(B39-A39)&gt;ABS(C39-A39),B39-A39,C39-A39)</f>
        <v>0</v>
      </c>
      <c r="E39" s="39">
        <f t="shared" ref="E39:E40" si="22">ABS(B39-C39)</f>
        <v>0</v>
      </c>
      <c r="F39" s="39"/>
      <c r="G39" s="10">
        <v>1.2999999999999999E-2</v>
      </c>
      <c r="I39" s="26">
        <f t="shared" si="20"/>
        <v>0</v>
      </c>
      <c r="J39" s="14">
        <f t="shared" ref="J39:J40" si="23">ABS(D39)/($N$6-$L$6)</f>
        <v>0</v>
      </c>
      <c r="K39" s="75"/>
      <c r="L39" s="14">
        <f t="shared" ref="L39:L40" si="24">ABS(E39)/($N$6-$L$6)</f>
        <v>0</v>
      </c>
      <c r="M39" s="75"/>
      <c r="N39" s="69"/>
    </row>
    <row r="40" spans="1:14" x14ac:dyDescent="0.15">
      <c r="A40" s="23">
        <v>0</v>
      </c>
      <c r="B40" s="23">
        <v>0</v>
      </c>
      <c r="C40" s="24">
        <v>0</v>
      </c>
      <c r="D40" s="25">
        <f t="shared" si="21"/>
        <v>0</v>
      </c>
      <c r="E40" s="50">
        <f t="shared" si="22"/>
        <v>0</v>
      </c>
      <c r="F40" s="51"/>
      <c r="G40" s="10">
        <v>1.2999999999999999E-2</v>
      </c>
      <c r="I40" s="26">
        <f t="shared" si="20"/>
        <v>0</v>
      </c>
      <c r="J40" s="14">
        <f t="shared" si="23"/>
        <v>0</v>
      </c>
      <c r="K40" s="76"/>
      <c r="L40" s="14">
        <f t="shared" si="24"/>
        <v>0</v>
      </c>
      <c r="M40" s="76"/>
      <c r="N40" s="69"/>
    </row>
    <row r="41" spans="1:14" x14ac:dyDescent="0.15">
      <c r="A41" s="28"/>
      <c r="B41" s="28"/>
      <c r="C41" s="29"/>
      <c r="D41" s="30"/>
      <c r="E41" s="30"/>
      <c r="F41" s="30"/>
      <c r="G41" s="31"/>
      <c r="I41" s="32"/>
      <c r="J41" s="33"/>
      <c r="K41" s="33"/>
      <c r="L41" s="33"/>
      <c r="M41" s="33"/>
      <c r="N41" s="34"/>
    </row>
    <row r="42" spans="1:14" x14ac:dyDescent="0.15">
      <c r="A42" s="11" t="s">
        <v>7</v>
      </c>
      <c r="B42" s="5" t="s">
        <v>12</v>
      </c>
      <c r="C42" s="11"/>
      <c r="D42" s="12" t="s">
        <v>25</v>
      </c>
      <c r="E42" s="40" t="str">
        <f>$N$5</f>
        <v>psi</v>
      </c>
      <c r="F42" s="40"/>
      <c r="G42" s="4"/>
      <c r="I42" s="18" t="s">
        <v>7</v>
      </c>
      <c r="J42" s="13" t="str">
        <f>B42</f>
        <v>CH6</v>
      </c>
      <c r="K42" s="6"/>
      <c r="L42" s="12"/>
      <c r="M42" s="5"/>
      <c r="N42" s="13"/>
    </row>
    <row r="43" spans="1:14" ht="15" customHeight="1" x14ac:dyDescent="0.15">
      <c r="A43" s="41" t="s">
        <v>28</v>
      </c>
      <c r="B43" s="41" t="s">
        <v>29</v>
      </c>
      <c r="C43" s="43"/>
      <c r="D43" s="44" t="s">
        <v>27</v>
      </c>
      <c r="E43" s="46" t="s">
        <v>26</v>
      </c>
      <c r="F43" s="47"/>
      <c r="G43" s="37" t="s">
        <v>3</v>
      </c>
      <c r="I43" s="36" t="s">
        <v>28</v>
      </c>
      <c r="J43" s="70" t="s">
        <v>35</v>
      </c>
      <c r="K43" s="67" t="s">
        <v>31</v>
      </c>
      <c r="L43" s="68" t="s">
        <v>36</v>
      </c>
      <c r="M43" s="69" t="s">
        <v>31</v>
      </c>
      <c r="N43" s="71" t="s">
        <v>37</v>
      </c>
    </row>
    <row r="44" spans="1:14" x14ac:dyDescent="0.15">
      <c r="A44" s="42"/>
      <c r="B44" s="8" t="s">
        <v>4</v>
      </c>
      <c r="C44" s="9" t="s">
        <v>5</v>
      </c>
      <c r="D44" s="45"/>
      <c r="E44" s="48"/>
      <c r="F44" s="49"/>
      <c r="G44" s="38"/>
      <c r="I44" s="35" t="str">
        <f>"（"&amp;$N$5&amp;"）"</f>
        <v>（psi）</v>
      </c>
      <c r="J44" s="66"/>
      <c r="K44" s="67"/>
      <c r="L44" s="68"/>
      <c r="M44" s="69"/>
      <c r="N44" s="69"/>
    </row>
    <row r="45" spans="1:14" x14ac:dyDescent="0.15">
      <c r="A45" s="23">
        <v>0</v>
      </c>
      <c r="B45" s="23">
        <v>0</v>
      </c>
      <c r="C45" s="24">
        <v>0</v>
      </c>
      <c r="D45" s="25">
        <f>IF(ABS(B45-A45)&gt;ABS(C45-A45),B45-A45,C45-A45)</f>
        <v>0</v>
      </c>
      <c r="E45" s="39">
        <f>ABS(B45-C45)</f>
        <v>0</v>
      </c>
      <c r="F45" s="39"/>
      <c r="G45" s="10">
        <v>1.2999999999999999E-2</v>
      </c>
      <c r="I45" s="26">
        <f t="shared" ref="I45:I47" si="25">A45</f>
        <v>0</v>
      </c>
      <c r="J45" s="14">
        <f>ABS(D45)/($N$6-$L$6)</f>
        <v>0</v>
      </c>
      <c r="K45" s="74">
        <f>MAX(J45:J47)</f>
        <v>0</v>
      </c>
      <c r="L45" s="14">
        <f>ABS(E45)/($N$6-$L$6)</f>
        <v>0</v>
      </c>
      <c r="M45" s="74">
        <f>MAX(L45:L47)</f>
        <v>0</v>
      </c>
      <c r="N45" s="69"/>
    </row>
    <row r="46" spans="1:14" x14ac:dyDescent="0.15">
      <c r="A46" s="23">
        <v>0</v>
      </c>
      <c r="B46" s="23">
        <v>0</v>
      </c>
      <c r="C46" s="24">
        <v>0</v>
      </c>
      <c r="D46" s="25">
        <f t="shared" ref="D46:D47" si="26">IF(ABS(B46-A46)&gt;ABS(C46-A46),B46-A46,C46-A46)</f>
        <v>0</v>
      </c>
      <c r="E46" s="39">
        <f t="shared" ref="E46:E47" si="27">ABS(B46-C46)</f>
        <v>0</v>
      </c>
      <c r="F46" s="39"/>
      <c r="G46" s="10">
        <v>1.2999999999999999E-2</v>
      </c>
      <c r="I46" s="26">
        <f t="shared" si="25"/>
        <v>0</v>
      </c>
      <c r="J46" s="14">
        <f t="shared" ref="J46:J47" si="28">ABS(D46)/($N$6-$L$6)</f>
        <v>0</v>
      </c>
      <c r="K46" s="75"/>
      <c r="L46" s="14">
        <f t="shared" ref="L46:L47" si="29">ABS(E46)/($N$6-$L$6)</f>
        <v>0</v>
      </c>
      <c r="M46" s="75"/>
      <c r="N46" s="69"/>
    </row>
    <row r="47" spans="1:14" x14ac:dyDescent="0.15">
      <c r="A47" s="23">
        <v>0</v>
      </c>
      <c r="B47" s="23">
        <v>0</v>
      </c>
      <c r="C47" s="24">
        <v>0</v>
      </c>
      <c r="D47" s="25">
        <f t="shared" si="26"/>
        <v>0</v>
      </c>
      <c r="E47" s="39">
        <f t="shared" si="27"/>
        <v>0</v>
      </c>
      <c r="F47" s="39"/>
      <c r="G47" s="10">
        <v>1.2999999999999999E-2</v>
      </c>
      <c r="I47" s="26">
        <f t="shared" si="25"/>
        <v>0</v>
      </c>
      <c r="J47" s="14">
        <f t="shared" si="28"/>
        <v>0</v>
      </c>
      <c r="K47" s="76"/>
      <c r="L47" s="14">
        <f t="shared" si="29"/>
        <v>0</v>
      </c>
      <c r="M47" s="76"/>
      <c r="N47" s="69"/>
    </row>
    <row r="48" spans="1:14" x14ac:dyDescent="0.15">
      <c r="A48" s="28"/>
      <c r="B48" s="28"/>
      <c r="C48" s="29"/>
      <c r="D48" s="30"/>
      <c r="E48" s="30"/>
      <c r="F48" s="30"/>
      <c r="G48" s="31"/>
      <c r="I48" s="32"/>
      <c r="J48" s="32"/>
      <c r="K48" s="32"/>
      <c r="L48" s="32"/>
      <c r="M48" s="32"/>
      <c r="N48" s="34"/>
    </row>
    <row r="49" spans="1:14" x14ac:dyDescent="0.15">
      <c r="A49" s="28"/>
      <c r="B49" s="28"/>
      <c r="C49" s="29"/>
      <c r="D49" s="30"/>
      <c r="E49" s="30"/>
      <c r="F49" s="30"/>
      <c r="G49" s="31"/>
      <c r="I49" s="32"/>
      <c r="J49" s="32"/>
      <c r="K49" s="32"/>
      <c r="L49" s="32"/>
      <c r="M49" s="32"/>
      <c r="N49" s="34"/>
    </row>
    <row r="51" spans="1:14" x14ac:dyDescent="0.15">
      <c r="A51" s="11" t="s">
        <v>7</v>
      </c>
      <c r="B51" s="5" t="s">
        <v>13</v>
      </c>
      <c r="C51" s="11"/>
      <c r="D51" s="12" t="s">
        <v>25</v>
      </c>
      <c r="E51" s="40" t="str">
        <f>$N$5</f>
        <v>psi</v>
      </c>
      <c r="F51" s="40"/>
      <c r="G51" s="4"/>
      <c r="I51" s="18" t="s">
        <v>7</v>
      </c>
      <c r="J51" s="13" t="str">
        <f>B51</f>
        <v>CH7</v>
      </c>
      <c r="K51" s="6"/>
      <c r="L51" s="12"/>
      <c r="M51" s="5"/>
      <c r="N51" s="13"/>
    </row>
    <row r="52" spans="1:14" ht="15" customHeight="1" x14ac:dyDescent="0.15">
      <c r="A52" s="41" t="s">
        <v>28</v>
      </c>
      <c r="B52" s="41" t="s">
        <v>29</v>
      </c>
      <c r="C52" s="43"/>
      <c r="D52" s="44" t="s">
        <v>27</v>
      </c>
      <c r="E52" s="46" t="s">
        <v>26</v>
      </c>
      <c r="F52" s="47"/>
      <c r="G52" s="37" t="s">
        <v>3</v>
      </c>
      <c r="I52" s="36" t="s">
        <v>28</v>
      </c>
      <c r="J52" s="70" t="s">
        <v>35</v>
      </c>
      <c r="K52" s="67" t="s">
        <v>31</v>
      </c>
      <c r="L52" s="68" t="s">
        <v>36</v>
      </c>
      <c r="M52" s="69" t="s">
        <v>31</v>
      </c>
      <c r="N52" s="71" t="s">
        <v>37</v>
      </c>
    </row>
    <row r="53" spans="1:14" x14ac:dyDescent="0.15">
      <c r="A53" s="42"/>
      <c r="B53" s="8" t="s">
        <v>4</v>
      </c>
      <c r="C53" s="9" t="s">
        <v>5</v>
      </c>
      <c r="D53" s="45"/>
      <c r="E53" s="48"/>
      <c r="F53" s="49"/>
      <c r="G53" s="38"/>
      <c r="I53" s="35" t="str">
        <f>"（"&amp;$N$5&amp;"）"</f>
        <v>（psi）</v>
      </c>
      <c r="J53" s="66"/>
      <c r="K53" s="67"/>
      <c r="L53" s="68"/>
      <c r="M53" s="69"/>
      <c r="N53" s="69"/>
    </row>
    <row r="54" spans="1:14" x14ac:dyDescent="0.15">
      <c r="A54" s="23">
        <v>0</v>
      </c>
      <c r="B54" s="23">
        <v>0</v>
      </c>
      <c r="C54" s="24">
        <v>0</v>
      </c>
      <c r="D54" s="25">
        <f>IF(ABS(B54-A54)&gt;ABS(C54-A54),B54-A54,C54-A54)</f>
        <v>0</v>
      </c>
      <c r="E54" s="39">
        <f>ABS(B54-C54)</f>
        <v>0</v>
      </c>
      <c r="F54" s="39"/>
      <c r="G54" s="10">
        <v>1.2999999999999999E-2</v>
      </c>
      <c r="I54" s="26">
        <f t="shared" ref="I54:I56" si="30">A54</f>
        <v>0</v>
      </c>
      <c r="J54" s="14">
        <f>ABS(D54)/($N$6-$L$6)</f>
        <v>0</v>
      </c>
      <c r="K54" s="74">
        <f>MAX(J54:J56)</f>
        <v>0</v>
      </c>
      <c r="L54" s="14">
        <f>ABS(E54)/($N$6-$L$6)</f>
        <v>0</v>
      </c>
      <c r="M54" s="74">
        <f>MAX(L54:L56)</f>
        <v>0</v>
      </c>
      <c r="N54" s="69"/>
    </row>
    <row r="55" spans="1:14" x14ac:dyDescent="0.15">
      <c r="A55" s="23">
        <v>0</v>
      </c>
      <c r="B55" s="23">
        <v>0</v>
      </c>
      <c r="C55" s="24">
        <v>0</v>
      </c>
      <c r="D55" s="25">
        <f t="shared" ref="D55:D56" si="31">IF(ABS(B55-A55)&gt;ABS(C55-A55),B55-A55,C55-A55)</f>
        <v>0</v>
      </c>
      <c r="E55" s="39">
        <f t="shared" ref="E55:E56" si="32">ABS(B55-C55)</f>
        <v>0</v>
      </c>
      <c r="F55" s="39"/>
      <c r="G55" s="10">
        <v>1.2999999999999999E-2</v>
      </c>
      <c r="I55" s="26">
        <f t="shared" si="30"/>
        <v>0</v>
      </c>
      <c r="J55" s="14">
        <f t="shared" ref="J55:J56" si="33">ABS(D55)/($N$6-$L$6)</f>
        <v>0</v>
      </c>
      <c r="K55" s="75"/>
      <c r="L55" s="14">
        <f t="shared" ref="L55:L56" si="34">ABS(E55)/($N$6-$L$6)</f>
        <v>0</v>
      </c>
      <c r="M55" s="75"/>
      <c r="N55" s="69"/>
    </row>
    <row r="56" spans="1:14" x14ac:dyDescent="0.15">
      <c r="A56" s="23">
        <v>0</v>
      </c>
      <c r="B56" s="23">
        <v>0</v>
      </c>
      <c r="C56" s="24">
        <v>0</v>
      </c>
      <c r="D56" s="25">
        <f t="shared" si="31"/>
        <v>0</v>
      </c>
      <c r="E56" s="39">
        <f t="shared" si="32"/>
        <v>0</v>
      </c>
      <c r="F56" s="39"/>
      <c r="G56" s="10">
        <v>1.2999999999999999E-2</v>
      </c>
      <c r="I56" s="26">
        <f t="shared" si="30"/>
        <v>0</v>
      </c>
      <c r="J56" s="14">
        <f t="shared" si="33"/>
        <v>0</v>
      </c>
      <c r="K56" s="76"/>
      <c r="L56" s="14">
        <f t="shared" si="34"/>
        <v>0</v>
      </c>
      <c r="M56" s="76"/>
      <c r="N56" s="69"/>
    </row>
    <row r="57" spans="1:14" x14ac:dyDescent="0.15">
      <c r="A57" s="28"/>
      <c r="B57" s="28"/>
      <c r="C57" s="29"/>
      <c r="D57" s="30"/>
      <c r="E57" s="30"/>
      <c r="F57" s="30"/>
      <c r="G57" s="31"/>
      <c r="I57" s="32"/>
      <c r="J57" s="32"/>
      <c r="K57" s="32"/>
      <c r="L57" s="32"/>
      <c r="M57" s="33"/>
      <c r="N57" s="34"/>
    </row>
    <row r="58" spans="1:14" x14ac:dyDescent="0.15">
      <c r="A58" s="11" t="s">
        <v>7</v>
      </c>
      <c r="B58" s="5" t="s">
        <v>14</v>
      </c>
      <c r="C58" s="11"/>
      <c r="D58" s="12" t="s">
        <v>25</v>
      </c>
      <c r="E58" s="40" t="str">
        <f>$N$5</f>
        <v>psi</v>
      </c>
      <c r="F58" s="40"/>
      <c r="G58" s="4"/>
      <c r="I58" s="18" t="s">
        <v>7</v>
      </c>
      <c r="J58" s="13" t="str">
        <f>B58</f>
        <v>CH8</v>
      </c>
      <c r="K58" s="6"/>
      <c r="L58" s="12"/>
      <c r="M58" s="5"/>
      <c r="N58" s="13"/>
    </row>
    <row r="59" spans="1:14" ht="15" customHeight="1" x14ac:dyDescent="0.15">
      <c r="A59" s="41" t="s">
        <v>28</v>
      </c>
      <c r="B59" s="41" t="s">
        <v>29</v>
      </c>
      <c r="C59" s="43"/>
      <c r="D59" s="44" t="s">
        <v>27</v>
      </c>
      <c r="E59" s="46" t="s">
        <v>26</v>
      </c>
      <c r="F59" s="47"/>
      <c r="G59" s="37" t="s">
        <v>3</v>
      </c>
      <c r="I59" s="36" t="s">
        <v>28</v>
      </c>
      <c r="J59" s="70" t="s">
        <v>35</v>
      </c>
      <c r="K59" s="67" t="s">
        <v>31</v>
      </c>
      <c r="L59" s="68" t="s">
        <v>36</v>
      </c>
      <c r="M59" s="69" t="s">
        <v>31</v>
      </c>
      <c r="N59" s="71" t="s">
        <v>37</v>
      </c>
    </row>
    <row r="60" spans="1:14" x14ac:dyDescent="0.15">
      <c r="A60" s="42"/>
      <c r="B60" s="8" t="s">
        <v>4</v>
      </c>
      <c r="C60" s="9" t="s">
        <v>5</v>
      </c>
      <c r="D60" s="45"/>
      <c r="E60" s="48"/>
      <c r="F60" s="49"/>
      <c r="G60" s="38"/>
      <c r="I60" s="35" t="str">
        <f>"（"&amp;$N$5&amp;"）"</f>
        <v>（psi）</v>
      </c>
      <c r="J60" s="66"/>
      <c r="K60" s="67"/>
      <c r="L60" s="68"/>
      <c r="M60" s="69"/>
      <c r="N60" s="69"/>
    </row>
    <row r="61" spans="1:14" x14ac:dyDescent="0.15">
      <c r="A61" s="23">
        <v>0</v>
      </c>
      <c r="B61" s="23">
        <v>0</v>
      </c>
      <c r="C61" s="24">
        <v>0</v>
      </c>
      <c r="D61" s="25">
        <f>IF(ABS(B61-A61)&gt;ABS(C61-A61),B61-A61,C61-A61)</f>
        <v>0</v>
      </c>
      <c r="E61" s="39">
        <f>ABS(B61-C61)</f>
        <v>0</v>
      </c>
      <c r="F61" s="39"/>
      <c r="G61" s="10">
        <v>1.2999999999999999E-2</v>
      </c>
      <c r="I61" s="26">
        <f t="shared" ref="I61:I63" si="35">A61</f>
        <v>0</v>
      </c>
      <c r="J61" s="14">
        <f>ABS(D61)/($N$6-$L$6)</f>
        <v>0</v>
      </c>
      <c r="K61" s="74">
        <f>MAX(J61:J63)</f>
        <v>0</v>
      </c>
      <c r="L61" s="14">
        <f>ABS(E61)/($N$6-$L$6)</f>
        <v>0</v>
      </c>
      <c r="M61" s="74">
        <f>MAX(L61:L63)</f>
        <v>0</v>
      </c>
      <c r="N61" s="69"/>
    </row>
    <row r="62" spans="1:14" x14ac:dyDescent="0.15">
      <c r="A62" s="23">
        <v>0</v>
      </c>
      <c r="B62" s="23">
        <v>0</v>
      </c>
      <c r="C62" s="24">
        <v>0</v>
      </c>
      <c r="D62" s="25">
        <f t="shared" ref="D62:D63" si="36">IF(ABS(B62-A62)&gt;ABS(C62-A62),B62-A62,C62-A62)</f>
        <v>0</v>
      </c>
      <c r="E62" s="39">
        <f t="shared" ref="E62:E63" si="37">ABS(B62-C62)</f>
        <v>0</v>
      </c>
      <c r="F62" s="39"/>
      <c r="G62" s="10">
        <v>1.2999999999999999E-2</v>
      </c>
      <c r="I62" s="26">
        <f t="shared" si="35"/>
        <v>0</v>
      </c>
      <c r="J62" s="14">
        <f t="shared" ref="J62:J63" si="38">ABS(D62)/($N$6-$L$6)</f>
        <v>0</v>
      </c>
      <c r="K62" s="75"/>
      <c r="L62" s="14">
        <f t="shared" ref="L62:L63" si="39">ABS(E62)/($N$6-$L$6)</f>
        <v>0</v>
      </c>
      <c r="M62" s="75"/>
      <c r="N62" s="69"/>
    </row>
    <row r="63" spans="1:14" x14ac:dyDescent="0.15">
      <c r="A63" s="23">
        <v>0</v>
      </c>
      <c r="B63" s="23">
        <v>0</v>
      </c>
      <c r="C63" s="24">
        <v>0</v>
      </c>
      <c r="D63" s="25">
        <f t="shared" si="36"/>
        <v>0</v>
      </c>
      <c r="E63" s="39">
        <f t="shared" si="37"/>
        <v>0</v>
      </c>
      <c r="F63" s="39"/>
      <c r="G63" s="10">
        <v>1.2999999999999999E-2</v>
      </c>
      <c r="I63" s="26">
        <f t="shared" si="35"/>
        <v>0</v>
      </c>
      <c r="J63" s="14">
        <f t="shared" si="38"/>
        <v>0</v>
      </c>
      <c r="K63" s="76"/>
      <c r="L63" s="14">
        <f t="shared" si="39"/>
        <v>0</v>
      </c>
      <c r="M63" s="76"/>
      <c r="N63" s="69"/>
    </row>
    <row r="64" spans="1:14" x14ac:dyDescent="0.15">
      <c r="A64" s="28"/>
      <c r="B64" s="28"/>
      <c r="C64" s="29"/>
      <c r="D64" s="30"/>
      <c r="E64" s="30"/>
      <c r="F64" s="30"/>
      <c r="G64" s="31"/>
      <c r="I64" s="32"/>
      <c r="J64" s="32"/>
      <c r="K64" s="32"/>
      <c r="L64" s="32"/>
      <c r="M64" s="33"/>
      <c r="N64" s="34"/>
    </row>
    <row r="65" spans="1:14" x14ac:dyDescent="0.15">
      <c r="A65" s="11" t="s">
        <v>7</v>
      </c>
      <c r="B65" s="5" t="s">
        <v>15</v>
      </c>
      <c r="C65" s="11"/>
      <c r="D65" s="12" t="s">
        <v>25</v>
      </c>
      <c r="E65" s="40" t="str">
        <f>$N$5</f>
        <v>psi</v>
      </c>
      <c r="F65" s="40"/>
      <c r="G65" s="4"/>
      <c r="I65" s="18" t="s">
        <v>7</v>
      </c>
      <c r="J65" s="13" t="str">
        <f>B65</f>
        <v>CH9</v>
      </c>
      <c r="K65" s="6"/>
      <c r="L65" s="12"/>
      <c r="M65" s="5"/>
      <c r="N65" s="13"/>
    </row>
    <row r="66" spans="1:14" ht="15" customHeight="1" x14ac:dyDescent="0.15">
      <c r="A66" s="41" t="s">
        <v>28</v>
      </c>
      <c r="B66" s="41" t="s">
        <v>29</v>
      </c>
      <c r="C66" s="43"/>
      <c r="D66" s="44" t="s">
        <v>27</v>
      </c>
      <c r="E66" s="46" t="s">
        <v>26</v>
      </c>
      <c r="F66" s="47"/>
      <c r="G66" s="37" t="s">
        <v>3</v>
      </c>
      <c r="I66" s="36" t="s">
        <v>28</v>
      </c>
      <c r="J66" s="70" t="s">
        <v>35</v>
      </c>
      <c r="K66" s="67" t="s">
        <v>31</v>
      </c>
      <c r="L66" s="68" t="s">
        <v>36</v>
      </c>
      <c r="M66" s="69" t="s">
        <v>31</v>
      </c>
      <c r="N66" s="71" t="s">
        <v>37</v>
      </c>
    </row>
    <row r="67" spans="1:14" x14ac:dyDescent="0.15">
      <c r="A67" s="42"/>
      <c r="B67" s="8" t="s">
        <v>4</v>
      </c>
      <c r="C67" s="9" t="s">
        <v>5</v>
      </c>
      <c r="D67" s="45"/>
      <c r="E67" s="48"/>
      <c r="F67" s="49"/>
      <c r="G67" s="38"/>
      <c r="I67" s="35" t="str">
        <f>"（"&amp;$N$5&amp;"）"</f>
        <v>（psi）</v>
      </c>
      <c r="J67" s="66"/>
      <c r="K67" s="67"/>
      <c r="L67" s="68"/>
      <c r="M67" s="69"/>
      <c r="N67" s="69"/>
    </row>
    <row r="68" spans="1:14" x14ac:dyDescent="0.15">
      <c r="A68" s="23">
        <v>0</v>
      </c>
      <c r="B68" s="23">
        <v>0</v>
      </c>
      <c r="C68" s="24">
        <v>0</v>
      </c>
      <c r="D68" s="25">
        <f>IF(ABS(B68-A68)&gt;ABS(C68-A68),B68-A68,C68-A68)</f>
        <v>0</v>
      </c>
      <c r="E68" s="39">
        <f>ABS(B68-C68)</f>
        <v>0</v>
      </c>
      <c r="F68" s="39"/>
      <c r="G68" s="10">
        <v>1.2999999999999999E-2</v>
      </c>
      <c r="I68" s="26">
        <f t="shared" ref="I68:I70" si="40">A68</f>
        <v>0</v>
      </c>
      <c r="J68" s="14">
        <f>ABS(D68)/($N$6-$L$6)</f>
        <v>0</v>
      </c>
      <c r="K68" s="74">
        <f>MAX(J68:J70)</f>
        <v>0</v>
      </c>
      <c r="L68" s="14">
        <f>ABS(E68)/($N$6-$L$6)</f>
        <v>0</v>
      </c>
      <c r="M68" s="74">
        <f>MAX(L68:L70)</f>
        <v>0</v>
      </c>
      <c r="N68" s="69"/>
    </row>
    <row r="69" spans="1:14" x14ac:dyDescent="0.15">
      <c r="A69" s="23">
        <v>0</v>
      </c>
      <c r="B69" s="23">
        <v>0</v>
      </c>
      <c r="C69" s="24">
        <v>0</v>
      </c>
      <c r="D69" s="25">
        <f t="shared" ref="D69:D70" si="41">IF(ABS(B69-A69)&gt;ABS(C69-A69),B69-A69,C69-A69)</f>
        <v>0</v>
      </c>
      <c r="E69" s="39">
        <f t="shared" ref="E69:E70" si="42">ABS(B69-C69)</f>
        <v>0</v>
      </c>
      <c r="F69" s="39"/>
      <c r="G69" s="10">
        <v>1.2999999999999999E-2</v>
      </c>
      <c r="I69" s="26">
        <f t="shared" si="40"/>
        <v>0</v>
      </c>
      <c r="J69" s="14">
        <f t="shared" ref="J69:J70" si="43">ABS(D69)/($N$6-$L$6)</f>
        <v>0</v>
      </c>
      <c r="K69" s="75"/>
      <c r="L69" s="14">
        <f t="shared" ref="L69:L70" si="44">ABS(E69)/($N$6-$L$6)</f>
        <v>0</v>
      </c>
      <c r="M69" s="75"/>
      <c r="N69" s="69"/>
    </row>
    <row r="70" spans="1:14" x14ac:dyDescent="0.15">
      <c r="A70" s="23">
        <v>0</v>
      </c>
      <c r="B70" s="23">
        <v>0</v>
      </c>
      <c r="C70" s="24">
        <v>0</v>
      </c>
      <c r="D70" s="25">
        <f t="shared" si="41"/>
        <v>0</v>
      </c>
      <c r="E70" s="39">
        <f t="shared" si="42"/>
        <v>0</v>
      </c>
      <c r="F70" s="39"/>
      <c r="G70" s="10">
        <v>1.2999999999999999E-2</v>
      </c>
      <c r="I70" s="26">
        <f t="shared" si="40"/>
        <v>0</v>
      </c>
      <c r="J70" s="14">
        <f t="shared" si="43"/>
        <v>0</v>
      </c>
      <c r="K70" s="76"/>
      <c r="L70" s="14">
        <f t="shared" si="44"/>
        <v>0</v>
      </c>
      <c r="M70" s="76"/>
      <c r="N70" s="69"/>
    </row>
    <row r="71" spans="1:14" x14ac:dyDescent="0.15">
      <c r="A71" s="28"/>
      <c r="B71" s="28"/>
      <c r="C71" s="29"/>
      <c r="D71" s="30"/>
      <c r="E71" s="30"/>
      <c r="F71" s="30"/>
      <c r="G71" s="31"/>
      <c r="I71" s="32"/>
      <c r="J71" s="32"/>
      <c r="K71" s="32"/>
      <c r="L71" s="32"/>
      <c r="M71" s="33"/>
      <c r="N71" s="34"/>
    </row>
    <row r="72" spans="1:14" x14ac:dyDescent="0.15">
      <c r="A72" s="11" t="s">
        <v>7</v>
      </c>
      <c r="B72" s="5" t="s">
        <v>16</v>
      </c>
      <c r="C72" s="11"/>
      <c r="D72" s="12" t="s">
        <v>25</v>
      </c>
      <c r="E72" s="40" t="str">
        <f>$N$5</f>
        <v>psi</v>
      </c>
      <c r="F72" s="40"/>
      <c r="G72" s="4"/>
      <c r="I72" s="18" t="s">
        <v>7</v>
      </c>
      <c r="J72" s="13" t="str">
        <f>B72</f>
        <v>CH10</v>
      </c>
      <c r="K72" s="6"/>
      <c r="L72" s="12"/>
      <c r="M72" s="5"/>
      <c r="N72" s="13"/>
    </row>
    <row r="73" spans="1:14" ht="15" customHeight="1" x14ac:dyDescent="0.15">
      <c r="A73" s="41" t="s">
        <v>28</v>
      </c>
      <c r="B73" s="41" t="s">
        <v>29</v>
      </c>
      <c r="C73" s="43"/>
      <c r="D73" s="44" t="s">
        <v>27</v>
      </c>
      <c r="E73" s="46" t="s">
        <v>26</v>
      </c>
      <c r="F73" s="47"/>
      <c r="G73" s="37" t="s">
        <v>3</v>
      </c>
      <c r="I73" s="36" t="s">
        <v>28</v>
      </c>
      <c r="J73" s="70" t="s">
        <v>35</v>
      </c>
      <c r="K73" s="67" t="s">
        <v>31</v>
      </c>
      <c r="L73" s="68" t="s">
        <v>36</v>
      </c>
      <c r="M73" s="69" t="s">
        <v>31</v>
      </c>
      <c r="N73" s="71" t="s">
        <v>37</v>
      </c>
    </row>
    <row r="74" spans="1:14" x14ac:dyDescent="0.15">
      <c r="A74" s="42"/>
      <c r="B74" s="8" t="s">
        <v>4</v>
      </c>
      <c r="C74" s="9" t="s">
        <v>5</v>
      </c>
      <c r="D74" s="45"/>
      <c r="E74" s="48"/>
      <c r="F74" s="49"/>
      <c r="G74" s="38"/>
      <c r="I74" s="35" t="str">
        <f>"（"&amp;$N$5&amp;"）"</f>
        <v>（psi）</v>
      </c>
      <c r="J74" s="66"/>
      <c r="K74" s="67"/>
      <c r="L74" s="68"/>
      <c r="M74" s="69"/>
      <c r="N74" s="69"/>
    </row>
    <row r="75" spans="1:14" x14ac:dyDescent="0.15">
      <c r="A75" s="23">
        <v>0</v>
      </c>
      <c r="B75" s="23">
        <v>0</v>
      </c>
      <c r="C75" s="24">
        <v>0</v>
      </c>
      <c r="D75" s="25">
        <f>IF(ABS(B75-A75)&gt;ABS(C75-A75),B75-A75,C75-A75)</f>
        <v>0</v>
      </c>
      <c r="E75" s="39">
        <f>ABS(B75-C75)</f>
        <v>0</v>
      </c>
      <c r="F75" s="39"/>
      <c r="G75" s="10">
        <v>1.2999999999999999E-2</v>
      </c>
      <c r="I75" s="26">
        <f t="shared" ref="I75:I77" si="45">A75</f>
        <v>0</v>
      </c>
      <c r="J75" s="14">
        <f>ABS(D75)/($N$6-$L$6)</f>
        <v>0</v>
      </c>
      <c r="K75" s="74">
        <f>MAX(J75:J77)</f>
        <v>0</v>
      </c>
      <c r="L75" s="14">
        <f>ABS(E75)/($N$6-$L$6)</f>
        <v>0</v>
      </c>
      <c r="M75" s="74">
        <f>MAX(L75:L77)</f>
        <v>0</v>
      </c>
      <c r="N75" s="69"/>
    </row>
    <row r="76" spans="1:14" x14ac:dyDescent="0.15">
      <c r="A76" s="23">
        <v>0</v>
      </c>
      <c r="B76" s="23">
        <v>0</v>
      </c>
      <c r="C76" s="24">
        <v>0</v>
      </c>
      <c r="D76" s="25">
        <f t="shared" ref="D76:D77" si="46">IF(ABS(B76-A76)&gt;ABS(C76-A76),B76-A76,C76-A76)</f>
        <v>0</v>
      </c>
      <c r="E76" s="39">
        <f t="shared" ref="E76:E77" si="47">ABS(B76-C76)</f>
        <v>0</v>
      </c>
      <c r="F76" s="39"/>
      <c r="G76" s="10">
        <v>1.2999999999999999E-2</v>
      </c>
      <c r="I76" s="26">
        <f t="shared" si="45"/>
        <v>0</v>
      </c>
      <c r="J76" s="14">
        <f t="shared" ref="J76:J77" si="48">ABS(D76)/($N$6-$L$6)</f>
        <v>0</v>
      </c>
      <c r="K76" s="75"/>
      <c r="L76" s="14">
        <f t="shared" ref="L76:L77" si="49">ABS(E76)/($N$6-$L$6)</f>
        <v>0</v>
      </c>
      <c r="M76" s="75"/>
      <c r="N76" s="69"/>
    </row>
    <row r="77" spans="1:14" x14ac:dyDescent="0.15">
      <c r="A77" s="23">
        <v>0</v>
      </c>
      <c r="B77" s="23">
        <v>0</v>
      </c>
      <c r="C77" s="24">
        <v>0</v>
      </c>
      <c r="D77" s="25">
        <f t="shared" si="46"/>
        <v>0</v>
      </c>
      <c r="E77" s="39">
        <f t="shared" si="47"/>
        <v>0</v>
      </c>
      <c r="F77" s="39"/>
      <c r="G77" s="10">
        <v>1.2999999999999999E-2</v>
      </c>
      <c r="I77" s="26">
        <f t="shared" si="45"/>
        <v>0</v>
      </c>
      <c r="J77" s="14">
        <f t="shared" si="48"/>
        <v>0</v>
      </c>
      <c r="K77" s="76"/>
      <c r="L77" s="14">
        <f t="shared" si="49"/>
        <v>0</v>
      </c>
      <c r="M77" s="76"/>
      <c r="N77" s="69"/>
    </row>
    <row r="78" spans="1:14" x14ac:dyDescent="0.15">
      <c r="A78" s="28"/>
      <c r="B78" s="28"/>
      <c r="C78" s="29"/>
      <c r="D78" s="30"/>
      <c r="E78" s="30"/>
      <c r="F78" s="30"/>
      <c r="G78" s="31"/>
      <c r="I78" s="32"/>
      <c r="J78" s="32"/>
      <c r="K78" s="32"/>
      <c r="L78" s="32"/>
      <c r="M78" s="33"/>
      <c r="N78" s="34"/>
    </row>
    <row r="79" spans="1:14" x14ac:dyDescent="0.15">
      <c r="A79" s="11" t="s">
        <v>7</v>
      </c>
      <c r="B79" s="5" t="s">
        <v>17</v>
      </c>
      <c r="C79" s="11"/>
      <c r="D79" s="12" t="s">
        <v>25</v>
      </c>
      <c r="E79" s="40" t="str">
        <f>$N$5</f>
        <v>psi</v>
      </c>
      <c r="F79" s="40"/>
      <c r="G79" s="4"/>
      <c r="I79" s="18" t="s">
        <v>7</v>
      </c>
      <c r="J79" s="13" t="str">
        <f>B79</f>
        <v>CH11</v>
      </c>
      <c r="K79" s="6"/>
      <c r="L79" s="12"/>
      <c r="M79" s="5"/>
      <c r="N79" s="13"/>
    </row>
    <row r="80" spans="1:14" ht="15" customHeight="1" x14ac:dyDescent="0.15">
      <c r="A80" s="41" t="s">
        <v>28</v>
      </c>
      <c r="B80" s="41" t="s">
        <v>29</v>
      </c>
      <c r="C80" s="43"/>
      <c r="D80" s="44" t="s">
        <v>27</v>
      </c>
      <c r="E80" s="46" t="s">
        <v>26</v>
      </c>
      <c r="F80" s="47"/>
      <c r="G80" s="37" t="s">
        <v>3</v>
      </c>
      <c r="I80" s="36" t="s">
        <v>28</v>
      </c>
      <c r="J80" s="70" t="s">
        <v>35</v>
      </c>
      <c r="K80" s="67" t="s">
        <v>31</v>
      </c>
      <c r="L80" s="68" t="s">
        <v>36</v>
      </c>
      <c r="M80" s="69" t="s">
        <v>31</v>
      </c>
      <c r="N80" s="71" t="s">
        <v>37</v>
      </c>
    </row>
    <row r="81" spans="1:14" x14ac:dyDescent="0.15">
      <c r="A81" s="42"/>
      <c r="B81" s="8" t="s">
        <v>4</v>
      </c>
      <c r="C81" s="9" t="s">
        <v>5</v>
      </c>
      <c r="D81" s="45"/>
      <c r="E81" s="48"/>
      <c r="F81" s="49"/>
      <c r="G81" s="38"/>
      <c r="I81" s="35" t="str">
        <f>"（"&amp;$N$5&amp;"）"</f>
        <v>（psi）</v>
      </c>
      <c r="J81" s="66"/>
      <c r="K81" s="67"/>
      <c r="L81" s="68"/>
      <c r="M81" s="69"/>
      <c r="N81" s="69"/>
    </row>
    <row r="82" spans="1:14" x14ac:dyDescent="0.15">
      <c r="A82" s="23">
        <v>0</v>
      </c>
      <c r="B82" s="23">
        <v>0</v>
      </c>
      <c r="C82" s="24">
        <v>0</v>
      </c>
      <c r="D82" s="25">
        <f>IF(ABS(B82-A82)&gt;ABS(C82-A82),B82-A82,C82-A82)</f>
        <v>0</v>
      </c>
      <c r="E82" s="39">
        <f>ABS(B82-C82)</f>
        <v>0</v>
      </c>
      <c r="F82" s="39"/>
      <c r="G82" s="10">
        <v>1.2999999999999999E-2</v>
      </c>
      <c r="I82" s="26">
        <f t="shared" ref="I82:I84" si="50">A82</f>
        <v>0</v>
      </c>
      <c r="J82" s="14">
        <f>ABS(D82)/($N$6-$L$6)</f>
        <v>0</v>
      </c>
      <c r="K82" s="74">
        <f>MAX(J82:J84)</f>
        <v>0</v>
      </c>
      <c r="L82" s="14">
        <f>ABS(E82)/($N$6-$L$6)</f>
        <v>0</v>
      </c>
      <c r="M82" s="74">
        <f>MAX(L82:L84)</f>
        <v>0</v>
      </c>
      <c r="N82" s="69"/>
    </row>
    <row r="83" spans="1:14" x14ac:dyDescent="0.15">
      <c r="A83" s="23">
        <v>0</v>
      </c>
      <c r="B83" s="23">
        <v>0</v>
      </c>
      <c r="C83" s="24">
        <v>0</v>
      </c>
      <c r="D83" s="25">
        <f t="shared" ref="D83:D84" si="51">IF(ABS(B83-A83)&gt;ABS(C83-A83),B83-A83,C83-A83)</f>
        <v>0</v>
      </c>
      <c r="E83" s="39">
        <f t="shared" ref="E83:E84" si="52">ABS(B83-C83)</f>
        <v>0</v>
      </c>
      <c r="F83" s="39"/>
      <c r="G83" s="10">
        <v>1.2999999999999999E-2</v>
      </c>
      <c r="I83" s="26">
        <f t="shared" si="50"/>
        <v>0</v>
      </c>
      <c r="J83" s="14">
        <f t="shared" ref="J83:J84" si="53">ABS(D83)/($N$6-$L$6)</f>
        <v>0</v>
      </c>
      <c r="K83" s="75"/>
      <c r="L83" s="14">
        <f t="shared" ref="L83:L84" si="54">ABS(E83)/($N$6-$L$6)</f>
        <v>0</v>
      </c>
      <c r="M83" s="75"/>
      <c r="N83" s="69"/>
    </row>
    <row r="84" spans="1:14" x14ac:dyDescent="0.15">
      <c r="A84" s="23">
        <v>0</v>
      </c>
      <c r="B84" s="23">
        <v>0</v>
      </c>
      <c r="C84" s="24">
        <v>0</v>
      </c>
      <c r="D84" s="25">
        <f t="shared" si="51"/>
        <v>0</v>
      </c>
      <c r="E84" s="39">
        <f t="shared" si="52"/>
        <v>0</v>
      </c>
      <c r="F84" s="39"/>
      <c r="G84" s="10">
        <v>1.2999999999999999E-2</v>
      </c>
      <c r="I84" s="26">
        <f t="shared" si="50"/>
        <v>0</v>
      </c>
      <c r="J84" s="14">
        <f t="shared" si="53"/>
        <v>0</v>
      </c>
      <c r="K84" s="76"/>
      <c r="L84" s="14">
        <f t="shared" si="54"/>
        <v>0</v>
      </c>
      <c r="M84" s="76"/>
      <c r="N84" s="69"/>
    </row>
    <row r="85" spans="1:14" x14ac:dyDescent="0.15">
      <c r="A85" s="28"/>
      <c r="B85" s="28"/>
      <c r="C85" s="29"/>
      <c r="D85" s="30"/>
      <c r="E85" s="30"/>
      <c r="F85" s="30"/>
      <c r="G85" s="31"/>
      <c r="I85" s="32"/>
      <c r="J85" s="32"/>
      <c r="K85" s="32"/>
      <c r="L85" s="32"/>
      <c r="M85" s="33"/>
      <c r="N85" s="34"/>
    </row>
    <row r="86" spans="1:14" x14ac:dyDescent="0.15">
      <c r="A86" s="11" t="s">
        <v>7</v>
      </c>
      <c r="B86" s="5" t="s">
        <v>18</v>
      </c>
      <c r="C86" s="11"/>
      <c r="D86" s="12" t="s">
        <v>25</v>
      </c>
      <c r="E86" s="40" t="str">
        <f>$N$5</f>
        <v>psi</v>
      </c>
      <c r="F86" s="40"/>
      <c r="G86" s="4"/>
      <c r="I86" s="18" t="s">
        <v>7</v>
      </c>
      <c r="J86" s="13" t="str">
        <f>B86</f>
        <v>CH12</v>
      </c>
      <c r="K86" s="6"/>
      <c r="L86" s="12"/>
      <c r="M86" s="5"/>
      <c r="N86" s="13"/>
    </row>
    <row r="87" spans="1:14" ht="15" customHeight="1" x14ac:dyDescent="0.15">
      <c r="A87" s="41" t="s">
        <v>28</v>
      </c>
      <c r="B87" s="41" t="s">
        <v>29</v>
      </c>
      <c r="C87" s="43"/>
      <c r="D87" s="44" t="s">
        <v>27</v>
      </c>
      <c r="E87" s="46" t="s">
        <v>26</v>
      </c>
      <c r="F87" s="47"/>
      <c r="G87" s="37" t="s">
        <v>3</v>
      </c>
      <c r="I87" s="36" t="s">
        <v>28</v>
      </c>
      <c r="J87" s="70" t="s">
        <v>35</v>
      </c>
      <c r="K87" s="67" t="s">
        <v>31</v>
      </c>
      <c r="L87" s="68" t="s">
        <v>36</v>
      </c>
      <c r="M87" s="69" t="s">
        <v>31</v>
      </c>
      <c r="N87" s="71" t="s">
        <v>37</v>
      </c>
    </row>
    <row r="88" spans="1:14" x14ac:dyDescent="0.15">
      <c r="A88" s="42"/>
      <c r="B88" s="8" t="s">
        <v>4</v>
      </c>
      <c r="C88" s="9" t="s">
        <v>5</v>
      </c>
      <c r="D88" s="45"/>
      <c r="E88" s="48"/>
      <c r="F88" s="49"/>
      <c r="G88" s="38"/>
      <c r="I88" s="35" t="str">
        <f>"（"&amp;$N$5&amp;"）"</f>
        <v>（psi）</v>
      </c>
      <c r="J88" s="66"/>
      <c r="K88" s="67"/>
      <c r="L88" s="68"/>
      <c r="M88" s="69"/>
      <c r="N88" s="69"/>
    </row>
    <row r="89" spans="1:14" x14ac:dyDescent="0.15">
      <c r="A89" s="23">
        <v>0</v>
      </c>
      <c r="B89" s="23">
        <v>0</v>
      </c>
      <c r="C89" s="24">
        <v>0</v>
      </c>
      <c r="D89" s="25">
        <f>IF(ABS(B89-A89)&gt;ABS(C89-A89),B89-A89,C89-A89)</f>
        <v>0</v>
      </c>
      <c r="E89" s="39">
        <f>ABS(B89-C89)</f>
        <v>0</v>
      </c>
      <c r="F89" s="39"/>
      <c r="G89" s="10">
        <v>1.2999999999999999E-2</v>
      </c>
      <c r="I89" s="26">
        <f t="shared" ref="I89:I91" si="55">A89</f>
        <v>0</v>
      </c>
      <c r="J89" s="14">
        <f>ABS(D89)/($N$6-$L$6)</f>
        <v>0</v>
      </c>
      <c r="K89" s="74">
        <f>MAX(J89:J91)</f>
        <v>0</v>
      </c>
      <c r="L89" s="14">
        <f>ABS(E89)/($N$6-$L$6)</f>
        <v>0</v>
      </c>
      <c r="M89" s="74">
        <f>MAX(L89:L91)</f>
        <v>0</v>
      </c>
      <c r="N89" s="69"/>
    </row>
    <row r="90" spans="1:14" x14ac:dyDescent="0.15">
      <c r="A90" s="23">
        <v>0</v>
      </c>
      <c r="B90" s="23">
        <v>0</v>
      </c>
      <c r="C90" s="24">
        <v>0</v>
      </c>
      <c r="D90" s="25">
        <f t="shared" ref="D90:D91" si="56">IF(ABS(B90-A90)&gt;ABS(C90-A90),B90-A90,C90-A90)</f>
        <v>0</v>
      </c>
      <c r="E90" s="39">
        <f t="shared" ref="E90:E91" si="57">ABS(B90-C90)</f>
        <v>0</v>
      </c>
      <c r="F90" s="39"/>
      <c r="G90" s="10">
        <v>1.2999999999999999E-2</v>
      </c>
      <c r="I90" s="26">
        <f t="shared" si="55"/>
        <v>0</v>
      </c>
      <c r="J90" s="14">
        <f t="shared" ref="J90:J91" si="58">ABS(D90)/($N$6-$L$6)</f>
        <v>0</v>
      </c>
      <c r="K90" s="75"/>
      <c r="L90" s="14">
        <f t="shared" ref="L90:L91" si="59">ABS(E90)/($N$6-$L$6)</f>
        <v>0</v>
      </c>
      <c r="M90" s="75"/>
      <c r="N90" s="69"/>
    </row>
    <row r="91" spans="1:14" x14ac:dyDescent="0.15">
      <c r="A91" s="23">
        <v>0</v>
      </c>
      <c r="B91" s="23">
        <v>0</v>
      </c>
      <c r="C91" s="24">
        <v>0</v>
      </c>
      <c r="D91" s="25">
        <f t="shared" si="56"/>
        <v>0</v>
      </c>
      <c r="E91" s="39">
        <f t="shared" si="57"/>
        <v>0</v>
      </c>
      <c r="F91" s="39"/>
      <c r="G91" s="10">
        <v>1.2999999999999999E-2</v>
      </c>
      <c r="I91" s="26">
        <f t="shared" si="55"/>
        <v>0</v>
      </c>
      <c r="J91" s="14">
        <f t="shared" si="58"/>
        <v>0</v>
      </c>
      <c r="K91" s="76"/>
      <c r="L91" s="14">
        <f t="shared" si="59"/>
        <v>0</v>
      </c>
      <c r="M91" s="76"/>
      <c r="N91" s="69"/>
    </row>
    <row r="92" spans="1:14" x14ac:dyDescent="0.15">
      <c r="A92" s="28"/>
      <c r="B92" s="28"/>
      <c r="C92" s="29"/>
      <c r="D92" s="30"/>
      <c r="E92" s="30"/>
      <c r="F92" s="30"/>
      <c r="G92" s="31"/>
      <c r="I92" s="32"/>
      <c r="J92" s="32"/>
      <c r="K92" s="32"/>
      <c r="L92" s="32"/>
      <c r="M92" s="33"/>
      <c r="N92" s="34"/>
    </row>
    <row r="93" spans="1:14" x14ac:dyDescent="0.15">
      <c r="A93" s="28"/>
      <c r="B93" s="28"/>
      <c r="C93" s="29"/>
      <c r="D93" s="30"/>
      <c r="E93" s="30"/>
      <c r="F93" s="30"/>
      <c r="G93" s="31"/>
      <c r="I93" s="32"/>
      <c r="J93" s="32"/>
      <c r="K93" s="32"/>
      <c r="L93" s="32"/>
      <c r="M93" s="33"/>
      <c r="N93" s="34"/>
    </row>
    <row r="94" spans="1:14" x14ac:dyDescent="0.15">
      <c r="A94" s="28"/>
      <c r="B94" s="28"/>
      <c r="C94" s="29"/>
      <c r="D94" s="30"/>
      <c r="E94" s="30"/>
      <c r="F94" s="30"/>
      <c r="G94" s="31"/>
      <c r="I94" s="32"/>
      <c r="J94" s="32"/>
      <c r="K94" s="32"/>
      <c r="L94" s="32"/>
      <c r="M94" s="33"/>
      <c r="N94" s="34"/>
    </row>
    <row r="95" spans="1:14" x14ac:dyDescent="0.15">
      <c r="A95" s="11" t="s">
        <v>7</v>
      </c>
      <c r="B95" s="5" t="s">
        <v>19</v>
      </c>
      <c r="C95" s="11"/>
      <c r="D95" s="12" t="s">
        <v>25</v>
      </c>
      <c r="E95" s="40" t="str">
        <f>$N$5</f>
        <v>psi</v>
      </c>
      <c r="F95" s="40"/>
      <c r="G95" s="4"/>
      <c r="I95" s="18" t="s">
        <v>7</v>
      </c>
      <c r="J95" s="13" t="str">
        <f>B95</f>
        <v>CH13</v>
      </c>
      <c r="K95" s="6"/>
      <c r="L95" s="12"/>
      <c r="M95" s="5"/>
      <c r="N95" s="13"/>
    </row>
    <row r="96" spans="1:14" ht="15" customHeight="1" x14ac:dyDescent="0.15">
      <c r="A96" s="41" t="s">
        <v>28</v>
      </c>
      <c r="B96" s="41" t="s">
        <v>29</v>
      </c>
      <c r="C96" s="43"/>
      <c r="D96" s="44" t="s">
        <v>27</v>
      </c>
      <c r="E96" s="46" t="s">
        <v>26</v>
      </c>
      <c r="F96" s="47"/>
      <c r="G96" s="37" t="s">
        <v>3</v>
      </c>
      <c r="I96" s="36" t="s">
        <v>28</v>
      </c>
      <c r="J96" s="70" t="s">
        <v>35</v>
      </c>
      <c r="K96" s="67" t="s">
        <v>31</v>
      </c>
      <c r="L96" s="68" t="s">
        <v>36</v>
      </c>
      <c r="M96" s="69" t="s">
        <v>31</v>
      </c>
      <c r="N96" s="71" t="s">
        <v>37</v>
      </c>
    </row>
    <row r="97" spans="1:14" x14ac:dyDescent="0.15">
      <c r="A97" s="42"/>
      <c r="B97" s="8" t="s">
        <v>4</v>
      </c>
      <c r="C97" s="9" t="s">
        <v>5</v>
      </c>
      <c r="D97" s="45"/>
      <c r="E97" s="48"/>
      <c r="F97" s="49"/>
      <c r="G97" s="38"/>
      <c r="I97" s="35" t="str">
        <f>"（"&amp;$N$5&amp;"）"</f>
        <v>（psi）</v>
      </c>
      <c r="J97" s="66"/>
      <c r="K97" s="67"/>
      <c r="L97" s="68"/>
      <c r="M97" s="69"/>
      <c r="N97" s="69"/>
    </row>
    <row r="98" spans="1:14" x14ac:dyDescent="0.15">
      <c r="A98" s="23">
        <v>0</v>
      </c>
      <c r="B98" s="23">
        <v>0</v>
      </c>
      <c r="C98" s="24">
        <v>0</v>
      </c>
      <c r="D98" s="25">
        <f>IF(ABS(B98-A98)&gt;ABS(C98-A98),B98-A98,C98-A98)</f>
        <v>0</v>
      </c>
      <c r="E98" s="39">
        <f>ABS(B98-C98)</f>
        <v>0</v>
      </c>
      <c r="F98" s="39"/>
      <c r="G98" s="10">
        <v>1.2999999999999999E-2</v>
      </c>
      <c r="I98" s="26">
        <f t="shared" ref="I98:I100" si="60">A98</f>
        <v>0</v>
      </c>
      <c r="J98" s="14">
        <f>ABS(D98)/($N$6-$L$6)</f>
        <v>0</v>
      </c>
      <c r="K98" s="74">
        <f>MAX(J98:J100)</f>
        <v>0</v>
      </c>
      <c r="L98" s="14">
        <f>ABS(E98)/($N$6-$L$6)</f>
        <v>0</v>
      </c>
      <c r="M98" s="74">
        <f>MAX(L98:L100)</f>
        <v>0</v>
      </c>
      <c r="N98" s="69"/>
    </row>
    <row r="99" spans="1:14" x14ac:dyDescent="0.15">
      <c r="A99" s="23">
        <v>0</v>
      </c>
      <c r="B99" s="23">
        <v>0</v>
      </c>
      <c r="C99" s="24">
        <v>0</v>
      </c>
      <c r="D99" s="25">
        <f t="shared" ref="D99:D100" si="61">IF(ABS(B99-A99)&gt;ABS(C99-A99),B99-A99,C99-A99)</f>
        <v>0</v>
      </c>
      <c r="E99" s="39">
        <f t="shared" ref="E99:E100" si="62">ABS(B99-C99)</f>
        <v>0</v>
      </c>
      <c r="F99" s="39"/>
      <c r="G99" s="10">
        <v>1.2999999999999999E-2</v>
      </c>
      <c r="I99" s="26">
        <f t="shared" si="60"/>
        <v>0</v>
      </c>
      <c r="J99" s="14">
        <f t="shared" ref="J99:J100" si="63">ABS(D99)/($N$6-$L$6)</f>
        <v>0</v>
      </c>
      <c r="K99" s="75"/>
      <c r="L99" s="14">
        <f t="shared" ref="L99:L100" si="64">ABS(E99)/($N$6-$L$6)</f>
        <v>0</v>
      </c>
      <c r="M99" s="75"/>
      <c r="N99" s="69"/>
    </row>
    <row r="100" spans="1:14" x14ac:dyDescent="0.15">
      <c r="A100" s="23">
        <v>0</v>
      </c>
      <c r="B100" s="23">
        <v>0</v>
      </c>
      <c r="C100" s="24">
        <v>0</v>
      </c>
      <c r="D100" s="25">
        <f t="shared" si="61"/>
        <v>0</v>
      </c>
      <c r="E100" s="39">
        <f t="shared" si="62"/>
        <v>0</v>
      </c>
      <c r="F100" s="39"/>
      <c r="G100" s="10">
        <v>1.2999999999999999E-2</v>
      </c>
      <c r="I100" s="26">
        <f t="shared" si="60"/>
        <v>0</v>
      </c>
      <c r="J100" s="14">
        <f t="shared" si="63"/>
        <v>0</v>
      </c>
      <c r="K100" s="76"/>
      <c r="L100" s="14">
        <f t="shared" si="64"/>
        <v>0</v>
      </c>
      <c r="M100" s="76"/>
      <c r="N100" s="69"/>
    </row>
    <row r="101" spans="1:14" x14ac:dyDescent="0.15">
      <c r="A101" s="28"/>
      <c r="B101" s="28"/>
      <c r="C101" s="29"/>
      <c r="D101" s="30"/>
      <c r="E101" s="30"/>
      <c r="F101" s="30"/>
      <c r="G101" s="31"/>
      <c r="I101" s="32"/>
      <c r="J101" s="32"/>
      <c r="K101" s="32"/>
      <c r="L101" s="32"/>
      <c r="M101" s="33"/>
      <c r="N101" s="34"/>
    </row>
    <row r="102" spans="1:14" x14ac:dyDescent="0.15">
      <c r="A102" s="11" t="s">
        <v>7</v>
      </c>
      <c r="B102" s="5" t="s">
        <v>20</v>
      </c>
      <c r="C102" s="11"/>
      <c r="D102" s="12" t="s">
        <v>25</v>
      </c>
      <c r="E102" s="40" t="str">
        <f>$N$5</f>
        <v>psi</v>
      </c>
      <c r="F102" s="40"/>
      <c r="G102" s="4"/>
      <c r="I102" s="18" t="s">
        <v>7</v>
      </c>
      <c r="J102" s="13" t="str">
        <f>B102</f>
        <v>CH14</v>
      </c>
      <c r="K102" s="6"/>
      <c r="L102" s="12"/>
      <c r="M102" s="5"/>
      <c r="N102" s="13"/>
    </row>
    <row r="103" spans="1:14" ht="15" customHeight="1" x14ac:dyDescent="0.15">
      <c r="A103" s="41" t="s">
        <v>28</v>
      </c>
      <c r="B103" s="41" t="s">
        <v>29</v>
      </c>
      <c r="C103" s="43"/>
      <c r="D103" s="44" t="s">
        <v>27</v>
      </c>
      <c r="E103" s="46" t="s">
        <v>26</v>
      </c>
      <c r="F103" s="47"/>
      <c r="G103" s="37" t="s">
        <v>3</v>
      </c>
      <c r="I103" s="36" t="s">
        <v>28</v>
      </c>
      <c r="J103" s="70" t="s">
        <v>35</v>
      </c>
      <c r="K103" s="67" t="s">
        <v>31</v>
      </c>
      <c r="L103" s="68" t="s">
        <v>36</v>
      </c>
      <c r="M103" s="69" t="s">
        <v>31</v>
      </c>
      <c r="N103" s="71" t="s">
        <v>37</v>
      </c>
    </row>
    <row r="104" spans="1:14" x14ac:dyDescent="0.15">
      <c r="A104" s="42"/>
      <c r="B104" s="8" t="s">
        <v>4</v>
      </c>
      <c r="C104" s="9" t="s">
        <v>5</v>
      </c>
      <c r="D104" s="45"/>
      <c r="E104" s="48"/>
      <c r="F104" s="49"/>
      <c r="G104" s="38"/>
      <c r="I104" s="35" t="str">
        <f>"（"&amp;$N$5&amp;"）"</f>
        <v>（psi）</v>
      </c>
      <c r="J104" s="66"/>
      <c r="K104" s="67"/>
      <c r="L104" s="68"/>
      <c r="M104" s="69"/>
      <c r="N104" s="69"/>
    </row>
    <row r="105" spans="1:14" x14ac:dyDescent="0.15">
      <c r="A105" s="23">
        <v>0</v>
      </c>
      <c r="B105" s="23">
        <v>0</v>
      </c>
      <c r="C105" s="24">
        <v>0</v>
      </c>
      <c r="D105" s="25">
        <f>IF(ABS(B105-A105)&gt;ABS(C105-A105),B105-A105,C105-A105)</f>
        <v>0</v>
      </c>
      <c r="E105" s="39">
        <f>ABS(B105-C105)</f>
        <v>0</v>
      </c>
      <c r="F105" s="39"/>
      <c r="G105" s="10">
        <v>1.2999999999999999E-2</v>
      </c>
      <c r="I105" s="26">
        <f t="shared" ref="I105:I107" si="65">A105</f>
        <v>0</v>
      </c>
      <c r="J105" s="14">
        <f>ABS(D105)/($N$6-$L$6)</f>
        <v>0</v>
      </c>
      <c r="K105" s="74">
        <f>MAX(J105:J107)</f>
        <v>0</v>
      </c>
      <c r="L105" s="14">
        <f>ABS(E105)/($N$6-$L$6)</f>
        <v>0</v>
      </c>
      <c r="M105" s="74">
        <f>MAX(L105:L107)</f>
        <v>0</v>
      </c>
      <c r="N105" s="69"/>
    </row>
    <row r="106" spans="1:14" x14ac:dyDescent="0.15">
      <c r="A106" s="23">
        <v>0</v>
      </c>
      <c r="B106" s="23">
        <v>0</v>
      </c>
      <c r="C106" s="24">
        <v>0</v>
      </c>
      <c r="D106" s="25">
        <f t="shared" ref="D106:D107" si="66">IF(ABS(B106-A106)&gt;ABS(C106-A106),B106-A106,C106-A106)</f>
        <v>0</v>
      </c>
      <c r="E106" s="39">
        <f t="shared" ref="E106:E107" si="67">ABS(B106-C106)</f>
        <v>0</v>
      </c>
      <c r="F106" s="39"/>
      <c r="G106" s="10">
        <v>1.2999999999999999E-2</v>
      </c>
      <c r="I106" s="26">
        <f t="shared" si="65"/>
        <v>0</v>
      </c>
      <c r="J106" s="14">
        <f t="shared" ref="J106:J107" si="68">ABS(D106)/($N$6-$L$6)</f>
        <v>0</v>
      </c>
      <c r="K106" s="75"/>
      <c r="L106" s="14">
        <f t="shared" ref="L106:L107" si="69">ABS(E106)/($N$6-$L$6)</f>
        <v>0</v>
      </c>
      <c r="M106" s="75"/>
      <c r="N106" s="69"/>
    </row>
    <row r="107" spans="1:14" x14ac:dyDescent="0.15">
      <c r="A107" s="23">
        <v>0</v>
      </c>
      <c r="B107" s="23">
        <v>0</v>
      </c>
      <c r="C107" s="24">
        <v>0</v>
      </c>
      <c r="D107" s="25">
        <f t="shared" si="66"/>
        <v>0</v>
      </c>
      <c r="E107" s="39">
        <f t="shared" si="67"/>
        <v>0</v>
      </c>
      <c r="F107" s="39"/>
      <c r="G107" s="10">
        <v>1.2999999999999999E-2</v>
      </c>
      <c r="I107" s="26">
        <f t="shared" si="65"/>
        <v>0</v>
      </c>
      <c r="J107" s="14">
        <f t="shared" si="68"/>
        <v>0</v>
      </c>
      <c r="K107" s="76"/>
      <c r="L107" s="14">
        <f t="shared" si="69"/>
        <v>0</v>
      </c>
      <c r="M107" s="76"/>
      <c r="N107" s="69"/>
    </row>
    <row r="108" spans="1:14" x14ac:dyDescent="0.15">
      <c r="A108" s="28"/>
      <c r="B108" s="28"/>
      <c r="C108" s="29"/>
      <c r="D108" s="30"/>
      <c r="E108" s="30"/>
      <c r="F108" s="30"/>
      <c r="G108" s="31"/>
      <c r="I108" s="32"/>
      <c r="J108" s="32"/>
      <c r="K108" s="32"/>
      <c r="L108" s="32"/>
      <c r="M108" s="33"/>
      <c r="N108" s="34"/>
    </row>
    <row r="109" spans="1:14" x14ac:dyDescent="0.15">
      <c r="A109" s="11" t="s">
        <v>7</v>
      </c>
      <c r="B109" s="5" t="s">
        <v>21</v>
      </c>
      <c r="C109" s="11"/>
      <c r="D109" s="12" t="s">
        <v>25</v>
      </c>
      <c r="E109" s="40" t="str">
        <f>$N$5</f>
        <v>psi</v>
      </c>
      <c r="F109" s="40"/>
      <c r="G109" s="4"/>
      <c r="I109" s="18" t="s">
        <v>7</v>
      </c>
      <c r="J109" s="13" t="str">
        <f>B109</f>
        <v>CH15</v>
      </c>
      <c r="K109" s="6"/>
      <c r="L109" s="12"/>
      <c r="M109" s="5"/>
      <c r="N109" s="13"/>
    </row>
    <row r="110" spans="1:14" ht="15" customHeight="1" x14ac:dyDescent="0.15">
      <c r="A110" s="41" t="s">
        <v>28</v>
      </c>
      <c r="B110" s="41" t="s">
        <v>29</v>
      </c>
      <c r="C110" s="43"/>
      <c r="D110" s="44" t="s">
        <v>27</v>
      </c>
      <c r="E110" s="46" t="s">
        <v>26</v>
      </c>
      <c r="F110" s="47"/>
      <c r="G110" s="37" t="s">
        <v>3</v>
      </c>
      <c r="I110" s="36" t="s">
        <v>28</v>
      </c>
      <c r="J110" s="70" t="s">
        <v>35</v>
      </c>
      <c r="K110" s="67" t="s">
        <v>31</v>
      </c>
      <c r="L110" s="68" t="s">
        <v>36</v>
      </c>
      <c r="M110" s="69" t="s">
        <v>31</v>
      </c>
      <c r="N110" s="71" t="s">
        <v>37</v>
      </c>
    </row>
    <row r="111" spans="1:14" x14ac:dyDescent="0.15">
      <c r="A111" s="42"/>
      <c r="B111" s="8" t="s">
        <v>4</v>
      </c>
      <c r="C111" s="9" t="s">
        <v>5</v>
      </c>
      <c r="D111" s="45"/>
      <c r="E111" s="48"/>
      <c r="F111" s="49"/>
      <c r="G111" s="38"/>
      <c r="I111" s="35" t="str">
        <f>"（"&amp;$N$5&amp;"）"</f>
        <v>（psi）</v>
      </c>
      <c r="J111" s="66"/>
      <c r="K111" s="67"/>
      <c r="L111" s="68"/>
      <c r="M111" s="69"/>
      <c r="N111" s="69"/>
    </row>
    <row r="112" spans="1:14" x14ac:dyDescent="0.15">
      <c r="A112" s="23">
        <v>0</v>
      </c>
      <c r="B112" s="23">
        <v>0</v>
      </c>
      <c r="C112" s="24">
        <v>0</v>
      </c>
      <c r="D112" s="25">
        <f>IF(ABS(B112-A112)&gt;ABS(C112-A112),B112-A112,C112-A112)</f>
        <v>0</v>
      </c>
      <c r="E112" s="39">
        <f>ABS(B112-C112)</f>
        <v>0</v>
      </c>
      <c r="F112" s="39"/>
      <c r="G112" s="10">
        <v>1.2999999999999999E-2</v>
      </c>
      <c r="I112" s="26">
        <f t="shared" ref="I112:I114" si="70">A112</f>
        <v>0</v>
      </c>
      <c r="J112" s="14">
        <f>ABS(D112)/($N$6-$L$6)</f>
        <v>0</v>
      </c>
      <c r="K112" s="74">
        <f>MAX(J112:J114)</f>
        <v>0</v>
      </c>
      <c r="L112" s="14">
        <f>ABS(E112)/($N$6-$L$6)</f>
        <v>0</v>
      </c>
      <c r="M112" s="74">
        <f>MAX(L112:L114)</f>
        <v>0</v>
      </c>
      <c r="N112" s="69"/>
    </row>
    <row r="113" spans="1:14" x14ac:dyDescent="0.15">
      <c r="A113" s="23">
        <v>0</v>
      </c>
      <c r="B113" s="23">
        <v>0</v>
      </c>
      <c r="C113" s="24">
        <v>0</v>
      </c>
      <c r="D113" s="25">
        <f t="shared" ref="D113:D114" si="71">IF(ABS(B113-A113)&gt;ABS(C113-A113),B113-A113,C113-A113)</f>
        <v>0</v>
      </c>
      <c r="E113" s="39">
        <f t="shared" ref="E113:E114" si="72">ABS(B113-C113)</f>
        <v>0</v>
      </c>
      <c r="F113" s="39"/>
      <c r="G113" s="10">
        <v>1.2999999999999999E-2</v>
      </c>
      <c r="I113" s="26">
        <f t="shared" si="70"/>
        <v>0</v>
      </c>
      <c r="J113" s="14">
        <f t="shared" ref="J113:J114" si="73">ABS(D113)/($N$6-$L$6)</f>
        <v>0</v>
      </c>
      <c r="K113" s="75"/>
      <c r="L113" s="14">
        <f t="shared" ref="L113:L114" si="74">ABS(E113)/($N$6-$L$6)</f>
        <v>0</v>
      </c>
      <c r="M113" s="75"/>
      <c r="N113" s="69"/>
    </row>
    <row r="114" spans="1:14" x14ac:dyDescent="0.15">
      <c r="A114" s="23">
        <v>0</v>
      </c>
      <c r="B114" s="23">
        <v>0</v>
      </c>
      <c r="C114" s="24">
        <v>0</v>
      </c>
      <c r="D114" s="25">
        <f t="shared" si="71"/>
        <v>0</v>
      </c>
      <c r="E114" s="39">
        <f t="shared" si="72"/>
        <v>0</v>
      </c>
      <c r="F114" s="39"/>
      <c r="G114" s="10">
        <v>1.2999999999999999E-2</v>
      </c>
      <c r="I114" s="26">
        <f t="shared" si="70"/>
        <v>0</v>
      </c>
      <c r="J114" s="14">
        <f t="shared" si="73"/>
        <v>0</v>
      </c>
      <c r="K114" s="76"/>
      <c r="L114" s="14">
        <f t="shared" si="74"/>
        <v>0</v>
      </c>
      <c r="M114" s="76"/>
      <c r="N114" s="69"/>
    </row>
    <row r="115" spans="1:14" x14ac:dyDescent="0.15">
      <c r="A115" s="28"/>
      <c r="B115" s="28"/>
      <c r="C115" s="29"/>
      <c r="D115" s="30"/>
      <c r="E115" s="30"/>
      <c r="F115" s="30"/>
      <c r="G115" s="31"/>
      <c r="I115" s="32"/>
      <c r="J115" s="33"/>
      <c r="K115" s="33"/>
      <c r="L115" s="33"/>
      <c r="M115" s="33"/>
      <c r="N115" s="34"/>
    </row>
    <row r="116" spans="1:14" x14ac:dyDescent="0.15">
      <c r="A116" s="11" t="s">
        <v>7</v>
      </c>
      <c r="B116" s="5" t="s">
        <v>22</v>
      </c>
      <c r="C116" s="11"/>
      <c r="D116" s="12" t="s">
        <v>25</v>
      </c>
      <c r="E116" s="40" t="str">
        <f>$N$5</f>
        <v>psi</v>
      </c>
      <c r="F116" s="40"/>
      <c r="G116" s="4"/>
      <c r="I116" s="18" t="s">
        <v>7</v>
      </c>
      <c r="J116" s="13" t="str">
        <f>B116</f>
        <v>CH16</v>
      </c>
      <c r="K116" s="6"/>
      <c r="L116" s="12"/>
      <c r="M116" s="5"/>
      <c r="N116" s="13"/>
    </row>
    <row r="117" spans="1:14" ht="15" customHeight="1" x14ac:dyDescent="0.15">
      <c r="A117" s="41" t="s">
        <v>28</v>
      </c>
      <c r="B117" s="41" t="s">
        <v>29</v>
      </c>
      <c r="C117" s="43"/>
      <c r="D117" s="44" t="s">
        <v>27</v>
      </c>
      <c r="E117" s="46" t="s">
        <v>26</v>
      </c>
      <c r="F117" s="47"/>
      <c r="G117" s="37" t="s">
        <v>3</v>
      </c>
      <c r="I117" s="36" t="s">
        <v>28</v>
      </c>
      <c r="J117" s="70" t="s">
        <v>35</v>
      </c>
      <c r="K117" s="67" t="s">
        <v>31</v>
      </c>
      <c r="L117" s="68" t="s">
        <v>36</v>
      </c>
      <c r="M117" s="69" t="s">
        <v>31</v>
      </c>
      <c r="N117" s="71" t="s">
        <v>37</v>
      </c>
    </row>
    <row r="118" spans="1:14" x14ac:dyDescent="0.15">
      <c r="A118" s="42"/>
      <c r="B118" s="8" t="s">
        <v>4</v>
      </c>
      <c r="C118" s="9" t="s">
        <v>5</v>
      </c>
      <c r="D118" s="45"/>
      <c r="E118" s="48"/>
      <c r="F118" s="49"/>
      <c r="G118" s="38"/>
      <c r="I118" s="35" t="str">
        <f>"（"&amp;$N$5&amp;"）"</f>
        <v>（psi）</v>
      </c>
      <c r="J118" s="66"/>
      <c r="K118" s="67"/>
      <c r="L118" s="68"/>
      <c r="M118" s="69"/>
      <c r="N118" s="69"/>
    </row>
    <row r="119" spans="1:14" x14ac:dyDescent="0.15">
      <c r="A119" s="23">
        <v>0</v>
      </c>
      <c r="B119" s="23">
        <v>0</v>
      </c>
      <c r="C119" s="24">
        <v>0</v>
      </c>
      <c r="D119" s="25">
        <f>IF(ABS(B119-A119)&gt;ABS(C119-A119),B119-A119,C119-A119)</f>
        <v>0</v>
      </c>
      <c r="E119" s="39">
        <f>ABS(B119-C119)</f>
        <v>0</v>
      </c>
      <c r="F119" s="39"/>
      <c r="G119" s="10">
        <v>1.2999999999999999E-2</v>
      </c>
      <c r="I119" s="26">
        <f t="shared" ref="I119:I121" si="75">A119</f>
        <v>0</v>
      </c>
      <c r="J119" s="14">
        <f>ABS(D119)/($N$6-$L$6)</f>
        <v>0</v>
      </c>
      <c r="K119" s="74">
        <f>MAX(J119:J121)</f>
        <v>0</v>
      </c>
      <c r="L119" s="14">
        <f>ABS(E119)/($N$6-$L$6)</f>
        <v>0</v>
      </c>
      <c r="M119" s="74">
        <f>MAX(L119:L121)</f>
        <v>0</v>
      </c>
      <c r="N119" s="69"/>
    </row>
    <row r="120" spans="1:14" x14ac:dyDescent="0.15">
      <c r="A120" s="23">
        <v>0</v>
      </c>
      <c r="B120" s="23">
        <v>0</v>
      </c>
      <c r="C120" s="24">
        <v>0</v>
      </c>
      <c r="D120" s="25">
        <f t="shared" ref="D120:D121" si="76">IF(ABS(B120-A120)&gt;ABS(C120-A120),B120-A120,C120-A120)</f>
        <v>0</v>
      </c>
      <c r="E120" s="39">
        <f t="shared" ref="E120:E121" si="77">ABS(B120-C120)</f>
        <v>0</v>
      </c>
      <c r="F120" s="39"/>
      <c r="G120" s="10">
        <v>1.2999999999999999E-2</v>
      </c>
      <c r="I120" s="26">
        <f t="shared" si="75"/>
        <v>0</v>
      </c>
      <c r="J120" s="14">
        <f t="shared" ref="J120:J121" si="78">ABS(D120)/($N$6-$L$6)</f>
        <v>0</v>
      </c>
      <c r="K120" s="75"/>
      <c r="L120" s="14">
        <f t="shared" ref="L120:L121" si="79">ABS(E120)/($N$6-$L$6)</f>
        <v>0</v>
      </c>
      <c r="M120" s="75"/>
      <c r="N120" s="69"/>
    </row>
    <row r="121" spans="1:14" x14ac:dyDescent="0.15">
      <c r="A121" s="23">
        <v>0</v>
      </c>
      <c r="B121" s="23">
        <v>0</v>
      </c>
      <c r="C121" s="24">
        <v>0</v>
      </c>
      <c r="D121" s="25">
        <f t="shared" si="76"/>
        <v>0</v>
      </c>
      <c r="E121" s="39">
        <f t="shared" si="77"/>
        <v>0</v>
      </c>
      <c r="F121" s="39"/>
      <c r="G121" s="10">
        <v>1.2999999999999999E-2</v>
      </c>
      <c r="I121" s="26">
        <f t="shared" si="75"/>
        <v>0</v>
      </c>
      <c r="J121" s="14">
        <f t="shared" si="78"/>
        <v>0</v>
      </c>
      <c r="K121" s="76"/>
      <c r="L121" s="14">
        <f t="shared" si="79"/>
        <v>0</v>
      </c>
      <c r="M121" s="76"/>
      <c r="N121" s="69"/>
    </row>
    <row r="122" spans="1:14" x14ac:dyDescent="0.15">
      <c r="A122" s="28"/>
      <c r="B122" s="28"/>
      <c r="C122" s="29"/>
      <c r="D122" s="30"/>
      <c r="E122" s="30"/>
      <c r="F122" s="30"/>
      <c r="G122" s="31"/>
      <c r="I122" s="32"/>
      <c r="J122" s="32"/>
      <c r="K122" s="32"/>
      <c r="L122" s="32"/>
      <c r="M122" s="32"/>
      <c r="N122" s="34"/>
    </row>
    <row r="123" spans="1:14" x14ac:dyDescent="0.15">
      <c r="A123" s="54"/>
      <c r="B123" s="54"/>
      <c r="C123" s="54"/>
      <c r="D123" s="54"/>
      <c r="E123" s="54"/>
      <c r="F123" s="54"/>
      <c r="G123" s="54"/>
    </row>
    <row r="124" spans="1:14" x14ac:dyDescent="0.15">
      <c r="A124" s="55" t="s">
        <v>2</v>
      </c>
      <c r="B124" s="55"/>
      <c r="C124" s="55"/>
      <c r="D124" s="55"/>
      <c r="E124" s="55"/>
      <c r="F124" s="55"/>
      <c r="G124" s="55"/>
    </row>
    <row r="125" spans="1:14" x14ac:dyDescent="0.15">
      <c r="A125" s="54" t="s">
        <v>1</v>
      </c>
      <c r="B125" s="54"/>
      <c r="C125" s="54"/>
      <c r="D125" s="54"/>
      <c r="E125" s="54"/>
      <c r="F125" s="54"/>
      <c r="G125" s="54"/>
    </row>
  </sheetData>
  <mergeCells count="281">
    <mergeCell ref="N22:N23"/>
    <mergeCell ref="L1:L2"/>
    <mergeCell ref="N89:N91"/>
    <mergeCell ref="N96:N97"/>
    <mergeCell ref="N98:N100"/>
    <mergeCell ref="N103:N104"/>
    <mergeCell ref="N105:N107"/>
    <mergeCell ref="N110:N111"/>
    <mergeCell ref="N112:N114"/>
    <mergeCell ref="M22:M23"/>
    <mergeCell ref="L22:L23"/>
    <mergeCell ref="L43:L44"/>
    <mergeCell ref="M43:M44"/>
    <mergeCell ref="N8:N9"/>
    <mergeCell ref="N10:N12"/>
    <mergeCell ref="N15:N16"/>
    <mergeCell ref="N17:N19"/>
    <mergeCell ref="M8:M9"/>
    <mergeCell ref="L8:L9"/>
    <mergeCell ref="M61:M63"/>
    <mergeCell ref="M45:M47"/>
    <mergeCell ref="N24:N26"/>
    <mergeCell ref="N29:N30"/>
    <mergeCell ref="N31:N33"/>
    <mergeCell ref="N36:N37"/>
    <mergeCell ref="N38:N40"/>
    <mergeCell ref="N43:N44"/>
    <mergeCell ref="N45:N47"/>
    <mergeCell ref="N52:N53"/>
    <mergeCell ref="N54:N56"/>
    <mergeCell ref="N119:N121"/>
    <mergeCell ref="N59:N60"/>
    <mergeCell ref="N61:N63"/>
    <mergeCell ref="N66:N67"/>
    <mergeCell ref="N68:N70"/>
    <mergeCell ref="N73:N74"/>
    <mergeCell ref="N75:N77"/>
    <mergeCell ref="N80:N81"/>
    <mergeCell ref="N82:N84"/>
    <mergeCell ref="N87:N88"/>
    <mergeCell ref="N117:N118"/>
    <mergeCell ref="K89:K91"/>
    <mergeCell ref="M89:M91"/>
    <mergeCell ref="J96:J97"/>
    <mergeCell ref="K96:K97"/>
    <mergeCell ref="L96:L97"/>
    <mergeCell ref="M96:M97"/>
    <mergeCell ref="K98:K100"/>
    <mergeCell ref="M98:M100"/>
    <mergeCell ref="J103:J104"/>
    <mergeCell ref="K103:K104"/>
    <mergeCell ref="L103:L104"/>
    <mergeCell ref="M103:M104"/>
    <mergeCell ref="K119:K121"/>
    <mergeCell ref="M119:M121"/>
    <mergeCell ref="K105:K107"/>
    <mergeCell ref="M105:M107"/>
    <mergeCell ref="J110:J111"/>
    <mergeCell ref="K110:K111"/>
    <mergeCell ref="L110:L111"/>
    <mergeCell ref="M110:M111"/>
    <mergeCell ref="K112:K114"/>
    <mergeCell ref="M112:M114"/>
    <mergeCell ref="J117:J118"/>
    <mergeCell ref="K117:K118"/>
    <mergeCell ref="L117:L118"/>
    <mergeCell ref="M117:M118"/>
    <mergeCell ref="K75:K77"/>
    <mergeCell ref="M75:M77"/>
    <mergeCell ref="J80:J81"/>
    <mergeCell ref="K80:K81"/>
    <mergeCell ref="L80:L81"/>
    <mergeCell ref="M80:M81"/>
    <mergeCell ref="K82:K84"/>
    <mergeCell ref="M82:M84"/>
    <mergeCell ref="J87:J88"/>
    <mergeCell ref="K87:K88"/>
    <mergeCell ref="L87:L88"/>
    <mergeCell ref="M87:M88"/>
    <mergeCell ref="J66:J67"/>
    <mergeCell ref="K66:K67"/>
    <mergeCell ref="L66:L67"/>
    <mergeCell ref="M66:M67"/>
    <mergeCell ref="K68:K70"/>
    <mergeCell ref="M68:M70"/>
    <mergeCell ref="J73:J74"/>
    <mergeCell ref="K73:K74"/>
    <mergeCell ref="L73:L74"/>
    <mergeCell ref="M73:M74"/>
    <mergeCell ref="I3:M3"/>
    <mergeCell ref="J59:J60"/>
    <mergeCell ref="K59:K60"/>
    <mergeCell ref="L59:L60"/>
    <mergeCell ref="M59:M60"/>
    <mergeCell ref="K22:K23"/>
    <mergeCell ref="J22:J23"/>
    <mergeCell ref="M17:M19"/>
    <mergeCell ref="K17:K19"/>
    <mergeCell ref="K45:K47"/>
    <mergeCell ref="K8:K9"/>
    <mergeCell ref="J8:J9"/>
    <mergeCell ref="M15:M16"/>
    <mergeCell ref="L15:L16"/>
    <mergeCell ref="K15:K16"/>
    <mergeCell ref="J15:J16"/>
    <mergeCell ref="M10:M12"/>
    <mergeCell ref="K10:K12"/>
    <mergeCell ref="K61:K63"/>
    <mergeCell ref="I4:M4"/>
    <mergeCell ref="M24:M26"/>
    <mergeCell ref="J29:J30"/>
    <mergeCell ref="K29:K30"/>
    <mergeCell ref="L29:L30"/>
    <mergeCell ref="M29:M30"/>
    <mergeCell ref="K31:K33"/>
    <mergeCell ref="M31:M33"/>
    <mergeCell ref="J36:J37"/>
    <mergeCell ref="K36:K37"/>
    <mergeCell ref="L36:L37"/>
    <mergeCell ref="M36:M37"/>
    <mergeCell ref="K24:K26"/>
    <mergeCell ref="K38:K40"/>
    <mergeCell ref="M38:M40"/>
    <mergeCell ref="J43:J44"/>
    <mergeCell ref="K43:K44"/>
    <mergeCell ref="J52:J53"/>
    <mergeCell ref="K52:K53"/>
    <mergeCell ref="L52:L53"/>
    <mergeCell ref="M52:M53"/>
    <mergeCell ref="K54:K56"/>
    <mergeCell ref="M54:M56"/>
    <mergeCell ref="A80:A81"/>
    <mergeCell ref="B80:C80"/>
    <mergeCell ref="D80:D81"/>
    <mergeCell ref="E80:F81"/>
    <mergeCell ref="G80:G81"/>
    <mergeCell ref="A73:A74"/>
    <mergeCell ref="B73:C73"/>
    <mergeCell ref="D73:D74"/>
    <mergeCell ref="E73:F74"/>
    <mergeCell ref="G73:G74"/>
    <mergeCell ref="E77:F77"/>
    <mergeCell ref="E75:F75"/>
    <mergeCell ref="E76:F76"/>
    <mergeCell ref="E79:F79"/>
    <mergeCell ref="A59:A60"/>
    <mergeCell ref="B59:C59"/>
    <mergeCell ref="D59:D60"/>
    <mergeCell ref="E59:F60"/>
    <mergeCell ref="A66:A67"/>
    <mergeCell ref="B66:C66"/>
    <mergeCell ref="D66:D67"/>
    <mergeCell ref="E66:F67"/>
    <mergeCell ref="E62:F62"/>
    <mergeCell ref="E63:F63"/>
    <mergeCell ref="E65:F65"/>
    <mergeCell ref="E61:F61"/>
    <mergeCell ref="A123:G123"/>
    <mergeCell ref="A124:G124"/>
    <mergeCell ref="A125:G125"/>
    <mergeCell ref="A3:G3"/>
    <mergeCell ref="A4:G4"/>
    <mergeCell ref="A8:A9"/>
    <mergeCell ref="B8:C8"/>
    <mergeCell ref="D8:D9"/>
    <mergeCell ref="E12:F12"/>
    <mergeCell ref="E7:F7"/>
    <mergeCell ref="E17:F17"/>
    <mergeCell ref="E19:F19"/>
    <mergeCell ref="E14:F14"/>
    <mergeCell ref="E21:F21"/>
    <mergeCell ref="A22:A23"/>
    <mergeCell ref="B22:C22"/>
    <mergeCell ref="D22:D23"/>
    <mergeCell ref="E22:F23"/>
    <mergeCell ref="A15:A16"/>
    <mergeCell ref="A36:A37"/>
    <mergeCell ref="B15:C15"/>
    <mergeCell ref="D15:D16"/>
    <mergeCell ref="B36:C36"/>
    <mergeCell ref="E18:F18"/>
    <mergeCell ref="G87:G88"/>
    <mergeCell ref="E91:F91"/>
    <mergeCell ref="E36:F37"/>
    <mergeCell ref="G36:G37"/>
    <mergeCell ref="E38:F38"/>
    <mergeCell ref="E29:F30"/>
    <mergeCell ref="G29:G30"/>
    <mergeCell ref="E31:F31"/>
    <mergeCell ref="E32:F32"/>
    <mergeCell ref="E33:F33"/>
    <mergeCell ref="E42:F42"/>
    <mergeCell ref="E39:F39"/>
    <mergeCell ref="E35:F35"/>
    <mergeCell ref="E52:F53"/>
    <mergeCell ref="G43:G44"/>
    <mergeCell ref="E45:F45"/>
    <mergeCell ref="E46:F46"/>
    <mergeCell ref="E47:F47"/>
    <mergeCell ref="E43:F44"/>
    <mergeCell ref="G52:G53"/>
    <mergeCell ref="G59:G60"/>
    <mergeCell ref="E51:F51"/>
    <mergeCell ref="E56:F56"/>
    <mergeCell ref="E54:F54"/>
    <mergeCell ref="D36:D37"/>
    <mergeCell ref="A29:A30"/>
    <mergeCell ref="B29:C29"/>
    <mergeCell ref="D29:D30"/>
    <mergeCell ref="A52:A53"/>
    <mergeCell ref="F1:G1"/>
    <mergeCell ref="G8:G9"/>
    <mergeCell ref="E8:F9"/>
    <mergeCell ref="E10:F10"/>
    <mergeCell ref="E11:F11"/>
    <mergeCell ref="E15:F16"/>
    <mergeCell ref="G15:G16"/>
    <mergeCell ref="B52:C52"/>
    <mergeCell ref="D52:D53"/>
    <mergeCell ref="A43:A44"/>
    <mergeCell ref="B43:C43"/>
    <mergeCell ref="D43:D44"/>
    <mergeCell ref="G22:G23"/>
    <mergeCell ref="E24:F24"/>
    <mergeCell ref="E25:F25"/>
    <mergeCell ref="E26:F26"/>
    <mergeCell ref="E28:F28"/>
    <mergeCell ref="E86:F86"/>
    <mergeCell ref="E58:F58"/>
    <mergeCell ref="E82:F82"/>
    <mergeCell ref="E83:F83"/>
    <mergeCell ref="E84:F84"/>
    <mergeCell ref="E40:F40"/>
    <mergeCell ref="E55:F55"/>
    <mergeCell ref="G66:G67"/>
    <mergeCell ref="E72:F72"/>
    <mergeCell ref="E70:F70"/>
    <mergeCell ref="E68:F68"/>
    <mergeCell ref="E69:F69"/>
    <mergeCell ref="A96:A97"/>
    <mergeCell ref="B96:C96"/>
    <mergeCell ref="D96:D97"/>
    <mergeCell ref="E96:F97"/>
    <mergeCell ref="A87:A88"/>
    <mergeCell ref="B87:C87"/>
    <mergeCell ref="D87:D88"/>
    <mergeCell ref="E87:F88"/>
    <mergeCell ref="E89:F89"/>
    <mergeCell ref="E90:F90"/>
    <mergeCell ref="G103:G104"/>
    <mergeCell ref="E105:F105"/>
    <mergeCell ref="G110:G111"/>
    <mergeCell ref="G96:G97"/>
    <mergeCell ref="E98:F98"/>
    <mergeCell ref="E99:F99"/>
    <mergeCell ref="E100:F100"/>
    <mergeCell ref="E102:F102"/>
    <mergeCell ref="E95:F95"/>
    <mergeCell ref="A117:A118"/>
    <mergeCell ref="B117:C117"/>
    <mergeCell ref="D117:D118"/>
    <mergeCell ref="E117:F118"/>
    <mergeCell ref="A110:A111"/>
    <mergeCell ref="B110:C110"/>
    <mergeCell ref="D110:D111"/>
    <mergeCell ref="E110:F111"/>
    <mergeCell ref="A103:A104"/>
    <mergeCell ref="B103:C103"/>
    <mergeCell ref="D103:D104"/>
    <mergeCell ref="E103:F104"/>
    <mergeCell ref="G117:G118"/>
    <mergeCell ref="E119:F119"/>
    <mergeCell ref="E120:F120"/>
    <mergeCell ref="E121:F121"/>
    <mergeCell ref="E112:F112"/>
    <mergeCell ref="E113:F113"/>
    <mergeCell ref="E114:F114"/>
    <mergeCell ref="E116:F116"/>
    <mergeCell ref="E106:F106"/>
    <mergeCell ref="E107:F107"/>
    <mergeCell ref="E109:F109"/>
  </mergeCells>
  <phoneticPr fontId="8" type="noConversion"/>
  <conditionalFormatting sqref="J10:J12">
    <cfRule type="cellIs" dxfId="159" priority="590" operator="greaterThanOrEqual">
      <formula>$J$6/100</formula>
    </cfRule>
    <cfRule type="cellIs" dxfId="158" priority="589" operator="lessThan">
      <formula>$J$6/100</formula>
    </cfRule>
  </conditionalFormatting>
  <conditionalFormatting sqref="M2:N2">
    <cfRule type="cellIs" dxfId="63" priority="401" operator="lessThan">
      <formula>0.0005</formula>
    </cfRule>
    <cfRule type="cellIs" dxfId="62" priority="402" operator="greaterThanOrEqual">
      <formula>0.0005</formula>
    </cfRule>
  </conditionalFormatting>
  <conditionalFormatting sqref="K10:M10 L11:L12">
    <cfRule type="cellIs" dxfId="60" priority="61" operator="lessThan">
      <formula>$J$6/100</formula>
    </cfRule>
    <cfRule type="cellIs" dxfId="61" priority="62" operator="greaterThanOrEqual">
      <formula>$J$6/100</formula>
    </cfRule>
  </conditionalFormatting>
  <conditionalFormatting sqref="J17:J19">
    <cfRule type="cellIs" dxfId="58" priority="59" operator="lessThan">
      <formula>$J$6/100</formula>
    </cfRule>
    <cfRule type="cellIs" dxfId="59" priority="60" operator="greaterThanOrEqual">
      <formula>$J$6/100</formula>
    </cfRule>
  </conditionalFormatting>
  <conditionalFormatting sqref="K17:M17 L18:L19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24:J26">
    <cfRule type="cellIs" dxfId="54" priority="55" operator="lessThan">
      <formula>$J$6/100</formula>
    </cfRule>
    <cfRule type="cellIs" dxfId="55" priority="56" operator="greaterThanOrEqual">
      <formula>$J$6/100</formula>
    </cfRule>
  </conditionalFormatting>
  <conditionalFormatting sqref="K24:M24 L25:L26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31:J33">
    <cfRule type="cellIs" dxfId="50" priority="51" operator="lessThan">
      <formula>$J$6/100</formula>
    </cfRule>
    <cfRule type="cellIs" dxfId="51" priority="52" operator="greaterThanOrEqual">
      <formula>$J$6/100</formula>
    </cfRule>
  </conditionalFormatting>
  <conditionalFormatting sqref="K31:M31 L32:L33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38:J40">
    <cfRule type="cellIs" dxfId="46" priority="47" operator="lessThan">
      <formula>$J$6/100</formula>
    </cfRule>
    <cfRule type="cellIs" dxfId="47" priority="48" operator="greaterThanOrEqual">
      <formula>$J$6/100</formula>
    </cfRule>
  </conditionalFormatting>
  <conditionalFormatting sqref="K38:M38 L39:L40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45:J47">
    <cfRule type="cellIs" dxfId="42" priority="43" operator="lessThan">
      <formula>$J$6/100</formula>
    </cfRule>
    <cfRule type="cellIs" dxfId="43" priority="44" operator="greaterThanOrEqual">
      <formula>$J$6/100</formula>
    </cfRule>
  </conditionalFormatting>
  <conditionalFormatting sqref="K45:M45 L46:L47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54:J56">
    <cfRule type="cellIs" dxfId="38" priority="39" operator="lessThan">
      <formula>$J$6/100</formula>
    </cfRule>
    <cfRule type="cellIs" dxfId="39" priority="40" operator="greaterThanOrEqual">
      <formula>$J$6/100</formula>
    </cfRule>
  </conditionalFormatting>
  <conditionalFormatting sqref="K54:M54 L55:L56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61:J63">
    <cfRule type="cellIs" dxfId="34" priority="35" operator="lessThan">
      <formula>$J$6/100</formula>
    </cfRule>
    <cfRule type="cellIs" dxfId="35" priority="36" operator="greaterThanOrEqual">
      <formula>$J$6/100</formula>
    </cfRule>
  </conditionalFormatting>
  <conditionalFormatting sqref="K61:M61 L62:L63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68:J70">
    <cfRule type="cellIs" dxfId="30" priority="31" operator="lessThan">
      <formula>$J$6/100</formula>
    </cfRule>
    <cfRule type="cellIs" dxfId="31" priority="32" operator="greaterThanOrEqual">
      <formula>$J$6/100</formula>
    </cfRule>
  </conditionalFormatting>
  <conditionalFormatting sqref="K68:M68 L69:L70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75:J77">
    <cfRule type="cellIs" dxfId="26" priority="27" operator="lessThan">
      <formula>$J$6/100</formula>
    </cfRule>
    <cfRule type="cellIs" dxfId="27" priority="28" operator="greaterThanOrEqual">
      <formula>$J$6/100</formula>
    </cfRule>
  </conditionalFormatting>
  <conditionalFormatting sqref="K75:M75 L76:L77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82:J84">
    <cfRule type="cellIs" dxfId="22" priority="23" operator="lessThan">
      <formula>$J$6/100</formula>
    </cfRule>
    <cfRule type="cellIs" dxfId="23" priority="24" operator="greaterThanOrEqual">
      <formula>$J$6/100</formula>
    </cfRule>
  </conditionalFormatting>
  <conditionalFormatting sqref="K82:M82 L83:L84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89:J91">
    <cfRule type="cellIs" dxfId="18" priority="19" operator="lessThan">
      <formula>$J$6/100</formula>
    </cfRule>
    <cfRule type="cellIs" dxfId="19" priority="20" operator="greaterThanOrEqual">
      <formula>$J$6/100</formula>
    </cfRule>
  </conditionalFormatting>
  <conditionalFormatting sqref="K89:M89 L90:L91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98:J100">
    <cfRule type="cellIs" dxfId="14" priority="15" operator="lessThan">
      <formula>$J$6/100</formula>
    </cfRule>
    <cfRule type="cellIs" dxfId="15" priority="16" operator="greaterThanOrEqual">
      <formula>$J$6/100</formula>
    </cfRule>
  </conditionalFormatting>
  <conditionalFormatting sqref="K98:M98 L99:L100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05:J107">
    <cfRule type="cellIs" dxfId="10" priority="11" operator="lessThan">
      <formula>$J$6/100</formula>
    </cfRule>
    <cfRule type="cellIs" dxfId="11" priority="12" operator="greaterThanOrEqual">
      <formula>$J$6/100</formula>
    </cfRule>
  </conditionalFormatting>
  <conditionalFormatting sqref="K105:M105 L106:L107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12:J114">
    <cfRule type="cellIs" dxfId="6" priority="7" operator="lessThan">
      <formula>$J$6/100</formula>
    </cfRule>
    <cfRule type="cellIs" dxfId="7" priority="8" operator="greaterThanOrEqual">
      <formula>$J$6/100</formula>
    </cfRule>
  </conditionalFormatting>
  <conditionalFormatting sqref="K112:M112 L113:L114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119:J121">
    <cfRule type="cellIs" dxfId="2" priority="3" operator="lessThan">
      <formula>$J$6/100</formula>
    </cfRule>
    <cfRule type="cellIs" dxfId="3" priority="4" operator="greaterThanOrEqual">
      <formula>$J$6/100</formula>
    </cfRule>
  </conditionalFormatting>
  <conditionalFormatting sqref="K119:M119 L120:L121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JY Z</cp:lastModifiedBy>
  <cp:lastPrinted>2024-04-23T07:08:22Z</cp:lastPrinted>
  <dcterms:created xsi:type="dcterms:W3CDTF">2022-12-06T12:02:00Z</dcterms:created>
  <dcterms:modified xsi:type="dcterms:W3CDTF">2024-04-25T05:23:05Z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