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8280" yWindow="2670" windowWidth="27885" windowHeight="10590"/>
  </bookViews>
  <sheets>
    <sheet name="校准结果" sheetId="16" r:id="rId1"/>
  </sheets>
  <definedNames>
    <definedName name="_xlnm.Print_Area" localSheetId="0">校准结果!$A$1:$F$275</definedName>
    <definedName name="_xlnm.Print_Titles" localSheetId="0">校准结果!$1:$4</definedName>
    <definedName name="单位">校准结果!$M$5</definedName>
    <definedName name="量程最大值">校准结果!$M$6</definedName>
    <definedName name="量程最小值">校准结果!$K$6</definedName>
    <definedName name="通道1">校准结果!$A$10</definedName>
    <definedName name="通道10">校准结果!$A$144</definedName>
    <definedName name="通道11">校准结果!$A$159</definedName>
    <definedName name="通道12">校准结果!$A$174</definedName>
    <definedName name="通道13">校准结果!$A$189</definedName>
    <definedName name="通道14">校准结果!$A$204</definedName>
    <definedName name="通道15">校准结果!$A$219</definedName>
    <definedName name="通道16">校准结果!$A$234</definedName>
    <definedName name="通道2">校准结果!$A$25</definedName>
    <definedName name="通道3">校准结果!$A$40</definedName>
    <definedName name="通道4">校准结果!$A$54</definedName>
    <definedName name="通道5">校准结果!$A$69</definedName>
    <definedName name="通道6">校准结果!$A$84</definedName>
    <definedName name="通道7">校准结果!$A$99</definedName>
    <definedName name="通道8">校准结果!$A$114</definedName>
    <definedName name="通道9">校准结果!$A$129</definedName>
    <definedName name="校准日期">校准结果!$K$5</definedName>
    <definedName name="准确度等级">校准结果!$I$6</definedName>
  </definedNames>
  <calcPr calcId="191029"/>
</workbook>
</file>

<file path=xl/calcChain.xml><?xml version="1.0" encoding="utf-8"?>
<calcChain xmlns="http://schemas.openxmlformats.org/spreadsheetml/2006/main">
  <c r="H244" i="16" l="1"/>
  <c r="H243" i="16"/>
  <c r="I242" i="16"/>
  <c r="H242" i="16"/>
  <c r="H241" i="16"/>
  <c r="H240" i="16"/>
  <c r="K239" i="16"/>
  <c r="H239" i="16"/>
  <c r="H238" i="16"/>
  <c r="H237" i="16"/>
  <c r="H236" i="16"/>
  <c r="H235" i="16"/>
  <c r="I234" i="16"/>
  <c r="H234" i="16"/>
  <c r="H233" i="16"/>
  <c r="I231" i="16"/>
  <c r="H229" i="16"/>
  <c r="I228" i="16"/>
  <c r="H228" i="16"/>
  <c r="H227" i="16"/>
  <c r="H226" i="16"/>
  <c r="K225" i="16"/>
  <c r="H225" i="16"/>
  <c r="H224" i="16"/>
  <c r="H223" i="16"/>
  <c r="H222" i="16"/>
  <c r="H221" i="16"/>
  <c r="I220" i="16"/>
  <c r="H220" i="16"/>
  <c r="H219" i="16"/>
  <c r="H218" i="16"/>
  <c r="I216" i="16"/>
  <c r="I214" i="16"/>
  <c r="H214" i="16"/>
  <c r="H213" i="16"/>
  <c r="H212" i="16"/>
  <c r="K211" i="16"/>
  <c r="H211" i="16"/>
  <c r="H210" i="16"/>
  <c r="H209" i="16"/>
  <c r="H208" i="16"/>
  <c r="H207" i="16"/>
  <c r="I206" i="16"/>
  <c r="H206" i="16"/>
  <c r="H205" i="16"/>
  <c r="H204" i="16"/>
  <c r="H203" i="16"/>
  <c r="I201" i="16"/>
  <c r="H199" i="16"/>
  <c r="H198" i="16"/>
  <c r="K197" i="16"/>
  <c r="H197" i="16"/>
  <c r="H196" i="16"/>
  <c r="H195" i="16"/>
  <c r="H194" i="16"/>
  <c r="H193" i="16"/>
  <c r="I192" i="16"/>
  <c r="H192" i="16"/>
  <c r="H191" i="16"/>
  <c r="H190" i="16"/>
  <c r="K189" i="16"/>
  <c r="H189" i="16"/>
  <c r="H188" i="16"/>
  <c r="I186" i="16"/>
  <c r="H184" i="16"/>
  <c r="H183" i="16"/>
  <c r="H182" i="16"/>
  <c r="I181" i="16"/>
  <c r="H181" i="16"/>
  <c r="H180" i="16"/>
  <c r="H179" i="16"/>
  <c r="H178" i="16"/>
  <c r="H177" i="16"/>
  <c r="H176" i="16"/>
  <c r="H175" i="16"/>
  <c r="H174" i="16"/>
  <c r="H173" i="16"/>
  <c r="I171" i="16"/>
  <c r="H169" i="16"/>
  <c r="H168" i="16"/>
  <c r="H167" i="16"/>
  <c r="H166" i="16"/>
  <c r="H165" i="16"/>
  <c r="K164" i="16"/>
  <c r="H164" i="16"/>
  <c r="H163" i="16"/>
  <c r="H162" i="16"/>
  <c r="H161" i="16"/>
  <c r="H160" i="16"/>
  <c r="H159" i="16"/>
  <c r="H158" i="16"/>
  <c r="I156" i="16"/>
  <c r="H154" i="16"/>
  <c r="I153" i="16"/>
  <c r="H153" i="16"/>
  <c r="H152" i="16"/>
  <c r="H151" i="16"/>
  <c r="K150" i="16"/>
  <c r="H150" i="16"/>
  <c r="H149" i="16"/>
  <c r="H148" i="16"/>
  <c r="H147" i="16"/>
  <c r="H146" i="16"/>
  <c r="I145" i="16"/>
  <c r="H145" i="16"/>
  <c r="H144" i="16"/>
  <c r="H143" i="16"/>
  <c r="I141" i="16"/>
  <c r="I139" i="16"/>
  <c r="H139" i="16"/>
  <c r="H138" i="16"/>
  <c r="H137" i="16"/>
  <c r="K136" i="16"/>
  <c r="H136" i="16"/>
  <c r="H135" i="16"/>
  <c r="H134" i="16"/>
  <c r="H133" i="16"/>
  <c r="H132" i="16"/>
  <c r="I131" i="16"/>
  <c r="H131" i="16"/>
  <c r="H130" i="16"/>
  <c r="H129" i="16"/>
  <c r="H128" i="16"/>
  <c r="I126" i="16"/>
  <c r="H124" i="16"/>
  <c r="H123" i="16"/>
  <c r="K122" i="16"/>
  <c r="H122" i="16"/>
  <c r="H121" i="16"/>
  <c r="H120" i="16"/>
  <c r="H119" i="16"/>
  <c r="H118" i="16"/>
  <c r="I117" i="16"/>
  <c r="H117" i="16"/>
  <c r="H116" i="16"/>
  <c r="H115" i="16"/>
  <c r="K114" i="16"/>
  <c r="H114" i="16"/>
  <c r="H113" i="16"/>
  <c r="I111" i="16"/>
  <c r="H109" i="16"/>
  <c r="K108" i="16"/>
  <c r="H108" i="16"/>
  <c r="H107" i="16"/>
  <c r="H106" i="16"/>
  <c r="H105" i="16"/>
  <c r="H104" i="16"/>
  <c r="I103" i="16"/>
  <c r="H103" i="16"/>
  <c r="H102" i="16"/>
  <c r="H101" i="16"/>
  <c r="K100" i="16"/>
  <c r="H100" i="16"/>
  <c r="H99" i="16"/>
  <c r="H98" i="16"/>
  <c r="I96" i="16"/>
  <c r="K94" i="16"/>
  <c r="H94" i="16"/>
  <c r="H93" i="16"/>
  <c r="H92" i="16"/>
  <c r="H91" i="16"/>
  <c r="H90" i="16"/>
  <c r="I89" i="16"/>
  <c r="H89" i="16"/>
  <c r="H88" i="16"/>
  <c r="H87" i="16"/>
  <c r="K86" i="16"/>
  <c r="H86" i="16"/>
  <c r="H85" i="16"/>
  <c r="H84" i="16"/>
  <c r="H83" i="16"/>
  <c r="I81" i="16"/>
  <c r="H79" i="16"/>
  <c r="H78" i="16"/>
  <c r="H77" i="16"/>
  <c r="H76" i="16"/>
  <c r="I75" i="16"/>
  <c r="H75" i="16"/>
  <c r="H74" i="16"/>
  <c r="H73" i="16"/>
  <c r="K72" i="16"/>
  <c r="H72" i="16"/>
  <c r="H71" i="16"/>
  <c r="H70" i="16"/>
  <c r="H69" i="16"/>
  <c r="H68" i="16"/>
  <c r="I66" i="16"/>
  <c r="H64" i="16"/>
  <c r="H63" i="16"/>
  <c r="H62" i="16"/>
  <c r="I61" i="16"/>
  <c r="H61" i="16"/>
  <c r="H60" i="16"/>
  <c r="H59" i="16"/>
  <c r="K58" i="16"/>
  <c r="H58" i="16"/>
  <c r="H57" i="16"/>
  <c r="H56" i="16"/>
  <c r="H55" i="16"/>
  <c r="H54" i="16"/>
  <c r="H53" i="16"/>
  <c r="I51" i="16"/>
  <c r="H50" i="16"/>
  <c r="H49" i="16"/>
  <c r="I48" i="16"/>
  <c r="H48" i="16"/>
  <c r="H47" i="16"/>
  <c r="H46" i="16"/>
  <c r="K45" i="16"/>
  <c r="H45" i="16"/>
  <c r="H44" i="16"/>
  <c r="H43" i="16"/>
  <c r="H42" i="16"/>
  <c r="H41" i="16"/>
  <c r="I40" i="16"/>
  <c r="H40" i="16"/>
  <c r="H39" i="16"/>
  <c r="I37" i="16"/>
  <c r="H35" i="16"/>
  <c r="I34" i="16"/>
  <c r="H34" i="16"/>
  <c r="H33" i="16"/>
  <c r="H32" i="16"/>
  <c r="K31" i="16"/>
  <c r="H31" i="16"/>
  <c r="H30" i="16"/>
  <c r="H29" i="16"/>
  <c r="H28" i="16"/>
  <c r="H27" i="16"/>
  <c r="I26" i="16"/>
  <c r="H26" i="16"/>
  <c r="H25" i="16"/>
  <c r="H24" i="16"/>
  <c r="I22" i="16"/>
  <c r="E244" i="16"/>
  <c r="K244" i="16" s="1"/>
  <c r="D244" i="16"/>
  <c r="I244" i="16" s="1"/>
  <c r="E243" i="16"/>
  <c r="K243" i="16" s="1"/>
  <c r="D243" i="16"/>
  <c r="I243" i="16" s="1"/>
  <c r="E242" i="16"/>
  <c r="K242" i="16" s="1"/>
  <c r="D242" i="16"/>
  <c r="E241" i="16"/>
  <c r="K241" i="16" s="1"/>
  <c r="D241" i="16"/>
  <c r="I241" i="16" s="1"/>
  <c r="E240" i="16"/>
  <c r="K240" i="16" s="1"/>
  <c r="D240" i="16"/>
  <c r="I240" i="16" s="1"/>
  <c r="E239" i="16"/>
  <c r="D239" i="16"/>
  <c r="I239" i="16" s="1"/>
  <c r="E238" i="16"/>
  <c r="K238" i="16" s="1"/>
  <c r="D238" i="16"/>
  <c r="I238" i="16" s="1"/>
  <c r="E237" i="16"/>
  <c r="K237" i="16" s="1"/>
  <c r="D237" i="16"/>
  <c r="I237" i="16" s="1"/>
  <c r="E236" i="16"/>
  <c r="K236" i="16" s="1"/>
  <c r="D236" i="16"/>
  <c r="I236" i="16" s="1"/>
  <c r="E235" i="16"/>
  <c r="K235" i="16" s="1"/>
  <c r="D235" i="16"/>
  <c r="I235" i="16" s="1"/>
  <c r="E234" i="16"/>
  <c r="K234" i="16" s="1"/>
  <c r="L234" i="16" s="1"/>
  <c r="D234" i="16"/>
  <c r="E231" i="16"/>
  <c r="E229" i="16"/>
  <c r="K229" i="16" s="1"/>
  <c r="D229" i="16"/>
  <c r="I229" i="16" s="1"/>
  <c r="E228" i="16"/>
  <c r="K228" i="16" s="1"/>
  <c r="D228" i="16"/>
  <c r="E227" i="16"/>
  <c r="K227" i="16" s="1"/>
  <c r="D227" i="16"/>
  <c r="I227" i="16" s="1"/>
  <c r="E226" i="16"/>
  <c r="K226" i="16" s="1"/>
  <c r="D226" i="16"/>
  <c r="I226" i="16" s="1"/>
  <c r="E225" i="16"/>
  <c r="D225" i="16"/>
  <c r="I225" i="16" s="1"/>
  <c r="E224" i="16"/>
  <c r="K224" i="16" s="1"/>
  <c r="D224" i="16"/>
  <c r="I224" i="16" s="1"/>
  <c r="E223" i="16"/>
  <c r="K223" i="16" s="1"/>
  <c r="D223" i="16"/>
  <c r="I223" i="16" s="1"/>
  <c r="E222" i="16"/>
  <c r="K222" i="16" s="1"/>
  <c r="D222" i="16"/>
  <c r="I222" i="16" s="1"/>
  <c r="E221" i="16"/>
  <c r="K221" i="16" s="1"/>
  <c r="D221" i="16"/>
  <c r="I221" i="16" s="1"/>
  <c r="E220" i="16"/>
  <c r="K220" i="16" s="1"/>
  <c r="D220" i="16"/>
  <c r="E219" i="16"/>
  <c r="K219" i="16" s="1"/>
  <c r="D219" i="16"/>
  <c r="I219" i="16" s="1"/>
  <c r="E216" i="16"/>
  <c r="E214" i="16"/>
  <c r="K214" i="16" s="1"/>
  <c r="D214" i="16"/>
  <c r="E213" i="16"/>
  <c r="K213" i="16" s="1"/>
  <c r="D213" i="16"/>
  <c r="I213" i="16" s="1"/>
  <c r="E212" i="16"/>
  <c r="K212" i="16" s="1"/>
  <c r="D212" i="16"/>
  <c r="I212" i="16" s="1"/>
  <c r="E211" i="16"/>
  <c r="D211" i="16"/>
  <c r="I211" i="16" s="1"/>
  <c r="E210" i="16"/>
  <c r="K210" i="16" s="1"/>
  <c r="D210" i="16"/>
  <c r="I210" i="16" s="1"/>
  <c r="E209" i="16"/>
  <c r="K209" i="16" s="1"/>
  <c r="D209" i="16"/>
  <c r="I209" i="16" s="1"/>
  <c r="E208" i="16"/>
  <c r="K208" i="16" s="1"/>
  <c r="D208" i="16"/>
  <c r="I208" i="16" s="1"/>
  <c r="E207" i="16"/>
  <c r="K207" i="16" s="1"/>
  <c r="D207" i="16"/>
  <c r="I207" i="16" s="1"/>
  <c r="E206" i="16"/>
  <c r="K206" i="16" s="1"/>
  <c r="D206" i="16"/>
  <c r="E205" i="16"/>
  <c r="K205" i="16" s="1"/>
  <c r="D205" i="16"/>
  <c r="I205" i="16" s="1"/>
  <c r="E204" i="16"/>
  <c r="K204" i="16" s="1"/>
  <c r="D204" i="16"/>
  <c r="I204" i="16" s="1"/>
  <c r="E201" i="16"/>
  <c r="E199" i="16"/>
  <c r="K199" i="16" s="1"/>
  <c r="D199" i="16"/>
  <c r="I199" i="16" s="1"/>
  <c r="E198" i="16"/>
  <c r="K198" i="16" s="1"/>
  <c r="D198" i="16"/>
  <c r="I198" i="16" s="1"/>
  <c r="E197" i="16"/>
  <c r="D197" i="16"/>
  <c r="I197" i="16" s="1"/>
  <c r="E196" i="16"/>
  <c r="K196" i="16" s="1"/>
  <c r="D196" i="16"/>
  <c r="I196" i="16" s="1"/>
  <c r="E195" i="16"/>
  <c r="K195" i="16" s="1"/>
  <c r="D195" i="16"/>
  <c r="I195" i="16" s="1"/>
  <c r="E194" i="16"/>
  <c r="K194" i="16" s="1"/>
  <c r="D194" i="16"/>
  <c r="I194" i="16" s="1"/>
  <c r="E193" i="16"/>
  <c r="K193" i="16" s="1"/>
  <c r="D193" i="16"/>
  <c r="I193" i="16" s="1"/>
  <c r="E192" i="16"/>
  <c r="K192" i="16" s="1"/>
  <c r="D192" i="16"/>
  <c r="E191" i="16"/>
  <c r="K191" i="16" s="1"/>
  <c r="D191" i="16"/>
  <c r="I191" i="16" s="1"/>
  <c r="E190" i="16"/>
  <c r="K190" i="16" s="1"/>
  <c r="D190" i="16"/>
  <c r="I190" i="16" s="1"/>
  <c r="E189" i="16"/>
  <c r="D189" i="16"/>
  <c r="I189" i="16" s="1"/>
  <c r="E186" i="16"/>
  <c r="E184" i="16"/>
  <c r="K184" i="16" s="1"/>
  <c r="D184" i="16"/>
  <c r="I184" i="16" s="1"/>
  <c r="E183" i="16"/>
  <c r="K183" i="16" s="1"/>
  <c r="D183" i="16"/>
  <c r="I183" i="16" s="1"/>
  <c r="E182" i="16"/>
  <c r="K182" i="16" s="1"/>
  <c r="D182" i="16"/>
  <c r="I182" i="16" s="1"/>
  <c r="E181" i="16"/>
  <c r="K181" i="16" s="1"/>
  <c r="D181" i="16"/>
  <c r="E180" i="16"/>
  <c r="K180" i="16" s="1"/>
  <c r="D180" i="16"/>
  <c r="I180" i="16" s="1"/>
  <c r="E179" i="16"/>
  <c r="K179" i="16" s="1"/>
  <c r="D179" i="16"/>
  <c r="I179" i="16" s="1"/>
  <c r="E178" i="16"/>
  <c r="K178" i="16" s="1"/>
  <c r="D178" i="16"/>
  <c r="I178" i="16" s="1"/>
  <c r="E177" i="16"/>
  <c r="K177" i="16" s="1"/>
  <c r="D177" i="16"/>
  <c r="I177" i="16" s="1"/>
  <c r="E176" i="16"/>
  <c r="K176" i="16" s="1"/>
  <c r="D176" i="16"/>
  <c r="I176" i="16" s="1"/>
  <c r="E175" i="16"/>
  <c r="K175" i="16" s="1"/>
  <c r="D175" i="16"/>
  <c r="I175" i="16" s="1"/>
  <c r="E174" i="16"/>
  <c r="K174" i="16" s="1"/>
  <c r="D174" i="16"/>
  <c r="I174" i="16" s="1"/>
  <c r="E171" i="16"/>
  <c r="E169" i="16"/>
  <c r="K169" i="16" s="1"/>
  <c r="D169" i="16"/>
  <c r="I169" i="16" s="1"/>
  <c r="E168" i="16"/>
  <c r="K168" i="16" s="1"/>
  <c r="D168" i="16"/>
  <c r="I168" i="16" s="1"/>
  <c r="E167" i="16"/>
  <c r="K167" i="16" s="1"/>
  <c r="D167" i="16"/>
  <c r="I167" i="16" s="1"/>
  <c r="E166" i="16"/>
  <c r="K166" i="16" s="1"/>
  <c r="D166" i="16"/>
  <c r="I166" i="16" s="1"/>
  <c r="E165" i="16"/>
  <c r="K165" i="16" s="1"/>
  <c r="D165" i="16"/>
  <c r="I165" i="16" s="1"/>
  <c r="E164" i="16"/>
  <c r="D164" i="16"/>
  <c r="I164" i="16" s="1"/>
  <c r="E163" i="16"/>
  <c r="K163" i="16" s="1"/>
  <c r="D163" i="16"/>
  <c r="I163" i="16" s="1"/>
  <c r="E162" i="16"/>
  <c r="K162" i="16" s="1"/>
  <c r="D162" i="16"/>
  <c r="I162" i="16" s="1"/>
  <c r="E161" i="16"/>
  <c r="K161" i="16" s="1"/>
  <c r="D161" i="16"/>
  <c r="I161" i="16" s="1"/>
  <c r="E160" i="16"/>
  <c r="K160" i="16" s="1"/>
  <c r="D160" i="16"/>
  <c r="I160" i="16" s="1"/>
  <c r="E159" i="16"/>
  <c r="K159" i="16" s="1"/>
  <c r="D159" i="16"/>
  <c r="I159" i="16" s="1"/>
  <c r="E156" i="16"/>
  <c r="E154" i="16"/>
  <c r="K154" i="16" s="1"/>
  <c r="D154" i="16"/>
  <c r="I154" i="16" s="1"/>
  <c r="E153" i="16"/>
  <c r="K153" i="16" s="1"/>
  <c r="D153" i="16"/>
  <c r="E152" i="16"/>
  <c r="K152" i="16" s="1"/>
  <c r="D152" i="16"/>
  <c r="I152" i="16" s="1"/>
  <c r="E151" i="16"/>
  <c r="K151" i="16" s="1"/>
  <c r="D151" i="16"/>
  <c r="I151" i="16" s="1"/>
  <c r="E150" i="16"/>
  <c r="D150" i="16"/>
  <c r="I150" i="16" s="1"/>
  <c r="E149" i="16"/>
  <c r="K149" i="16" s="1"/>
  <c r="D149" i="16"/>
  <c r="I149" i="16" s="1"/>
  <c r="E148" i="16"/>
  <c r="K148" i="16" s="1"/>
  <c r="D148" i="16"/>
  <c r="I148" i="16" s="1"/>
  <c r="E147" i="16"/>
  <c r="K147" i="16" s="1"/>
  <c r="D147" i="16"/>
  <c r="I147" i="16" s="1"/>
  <c r="E146" i="16"/>
  <c r="K146" i="16" s="1"/>
  <c r="D146" i="16"/>
  <c r="I146" i="16" s="1"/>
  <c r="E145" i="16"/>
  <c r="K145" i="16" s="1"/>
  <c r="D145" i="16"/>
  <c r="E144" i="16"/>
  <c r="K144" i="16" s="1"/>
  <c r="D144" i="16"/>
  <c r="I144" i="16" s="1"/>
  <c r="E141" i="16"/>
  <c r="E139" i="16"/>
  <c r="K139" i="16" s="1"/>
  <c r="D139" i="16"/>
  <c r="E138" i="16"/>
  <c r="K138" i="16" s="1"/>
  <c r="D138" i="16"/>
  <c r="I138" i="16" s="1"/>
  <c r="E137" i="16"/>
  <c r="K137" i="16" s="1"/>
  <c r="D137" i="16"/>
  <c r="I137" i="16" s="1"/>
  <c r="E136" i="16"/>
  <c r="D136" i="16"/>
  <c r="I136" i="16" s="1"/>
  <c r="E135" i="16"/>
  <c r="K135" i="16" s="1"/>
  <c r="D135" i="16"/>
  <c r="I135" i="16" s="1"/>
  <c r="E134" i="16"/>
  <c r="K134" i="16" s="1"/>
  <c r="D134" i="16"/>
  <c r="I134" i="16" s="1"/>
  <c r="E133" i="16"/>
  <c r="K133" i="16" s="1"/>
  <c r="D133" i="16"/>
  <c r="I133" i="16" s="1"/>
  <c r="E132" i="16"/>
  <c r="K132" i="16" s="1"/>
  <c r="D132" i="16"/>
  <c r="I132" i="16" s="1"/>
  <c r="E131" i="16"/>
  <c r="K131" i="16" s="1"/>
  <c r="D131" i="16"/>
  <c r="E130" i="16"/>
  <c r="K130" i="16" s="1"/>
  <c r="D130" i="16"/>
  <c r="I130" i="16" s="1"/>
  <c r="J129" i="16" s="1"/>
  <c r="E129" i="16"/>
  <c r="K129" i="16" s="1"/>
  <c r="L129" i="16" s="1"/>
  <c r="D129" i="16"/>
  <c r="I129" i="16" s="1"/>
  <c r="E126" i="16"/>
  <c r="E124" i="16"/>
  <c r="K124" i="16" s="1"/>
  <c r="D124" i="16"/>
  <c r="I124" i="16" s="1"/>
  <c r="E123" i="16"/>
  <c r="K123" i="16" s="1"/>
  <c r="D123" i="16"/>
  <c r="I123" i="16" s="1"/>
  <c r="E122" i="16"/>
  <c r="D122" i="16"/>
  <c r="I122" i="16" s="1"/>
  <c r="E121" i="16"/>
  <c r="K121" i="16" s="1"/>
  <c r="D121" i="16"/>
  <c r="I121" i="16" s="1"/>
  <c r="E120" i="16"/>
  <c r="K120" i="16" s="1"/>
  <c r="D120" i="16"/>
  <c r="I120" i="16" s="1"/>
  <c r="E119" i="16"/>
  <c r="K119" i="16" s="1"/>
  <c r="D119" i="16"/>
  <c r="I119" i="16" s="1"/>
  <c r="E118" i="16"/>
  <c r="K118" i="16" s="1"/>
  <c r="D118" i="16"/>
  <c r="I118" i="16" s="1"/>
  <c r="E117" i="16"/>
  <c r="K117" i="16" s="1"/>
  <c r="D117" i="16"/>
  <c r="E116" i="16"/>
  <c r="K116" i="16" s="1"/>
  <c r="D116" i="16"/>
  <c r="I116" i="16" s="1"/>
  <c r="E115" i="16"/>
  <c r="K115" i="16" s="1"/>
  <c r="D115" i="16"/>
  <c r="I115" i="16" s="1"/>
  <c r="E114" i="16"/>
  <c r="D114" i="16"/>
  <c r="I114" i="16" s="1"/>
  <c r="E111" i="16"/>
  <c r="E109" i="16"/>
  <c r="K109" i="16" s="1"/>
  <c r="D109" i="16"/>
  <c r="I109" i="16" s="1"/>
  <c r="E108" i="16"/>
  <c r="D108" i="16"/>
  <c r="I108" i="16" s="1"/>
  <c r="E107" i="16"/>
  <c r="K107" i="16" s="1"/>
  <c r="D107" i="16"/>
  <c r="I107" i="16" s="1"/>
  <c r="E106" i="16"/>
  <c r="K106" i="16" s="1"/>
  <c r="D106" i="16"/>
  <c r="I106" i="16" s="1"/>
  <c r="E105" i="16"/>
  <c r="K105" i="16" s="1"/>
  <c r="D105" i="16"/>
  <c r="I105" i="16" s="1"/>
  <c r="E104" i="16"/>
  <c r="K104" i="16" s="1"/>
  <c r="D104" i="16"/>
  <c r="I104" i="16" s="1"/>
  <c r="E103" i="16"/>
  <c r="K103" i="16" s="1"/>
  <c r="D103" i="16"/>
  <c r="E102" i="16"/>
  <c r="K102" i="16" s="1"/>
  <c r="D102" i="16"/>
  <c r="I102" i="16" s="1"/>
  <c r="E101" i="16"/>
  <c r="K101" i="16" s="1"/>
  <c r="D101" i="16"/>
  <c r="I101" i="16" s="1"/>
  <c r="E100" i="16"/>
  <c r="D100" i="16"/>
  <c r="I100" i="16" s="1"/>
  <c r="E99" i="16"/>
  <c r="K99" i="16" s="1"/>
  <c r="D99" i="16"/>
  <c r="I99" i="16" s="1"/>
  <c r="E96" i="16"/>
  <c r="E94" i="16"/>
  <c r="D94" i="16"/>
  <c r="I94" i="16" s="1"/>
  <c r="E93" i="16"/>
  <c r="K93" i="16" s="1"/>
  <c r="D93" i="16"/>
  <c r="I93" i="16" s="1"/>
  <c r="E92" i="16"/>
  <c r="K92" i="16" s="1"/>
  <c r="D92" i="16"/>
  <c r="I92" i="16" s="1"/>
  <c r="E91" i="16"/>
  <c r="K91" i="16" s="1"/>
  <c r="D91" i="16"/>
  <c r="I91" i="16" s="1"/>
  <c r="E90" i="16"/>
  <c r="K90" i="16" s="1"/>
  <c r="D90" i="16"/>
  <c r="I90" i="16" s="1"/>
  <c r="E89" i="16"/>
  <c r="K89" i="16" s="1"/>
  <c r="D89" i="16"/>
  <c r="E88" i="16"/>
  <c r="K88" i="16" s="1"/>
  <c r="D88" i="16"/>
  <c r="I88" i="16" s="1"/>
  <c r="E87" i="16"/>
  <c r="K87" i="16" s="1"/>
  <c r="D87" i="16"/>
  <c r="I87" i="16" s="1"/>
  <c r="E86" i="16"/>
  <c r="D86" i="16"/>
  <c r="I86" i="16" s="1"/>
  <c r="E85" i="16"/>
  <c r="K85" i="16" s="1"/>
  <c r="D85" i="16"/>
  <c r="I85" i="16" s="1"/>
  <c r="E84" i="16"/>
  <c r="K84" i="16" s="1"/>
  <c r="D84" i="16"/>
  <c r="I84" i="16" s="1"/>
  <c r="E79" i="16"/>
  <c r="K79" i="16" s="1"/>
  <c r="D79" i="16"/>
  <c r="I79" i="16" s="1"/>
  <c r="E78" i="16"/>
  <c r="K78" i="16" s="1"/>
  <c r="D78" i="16"/>
  <c r="I78" i="16" s="1"/>
  <c r="E77" i="16"/>
  <c r="K77" i="16" s="1"/>
  <c r="D77" i="16"/>
  <c r="I77" i="16" s="1"/>
  <c r="E76" i="16"/>
  <c r="K76" i="16" s="1"/>
  <c r="D76" i="16"/>
  <c r="I76" i="16" s="1"/>
  <c r="E75" i="16"/>
  <c r="K75" i="16" s="1"/>
  <c r="D75" i="16"/>
  <c r="E74" i="16"/>
  <c r="K74" i="16" s="1"/>
  <c r="D74" i="16"/>
  <c r="I74" i="16" s="1"/>
  <c r="E73" i="16"/>
  <c r="K73" i="16" s="1"/>
  <c r="D73" i="16"/>
  <c r="I73" i="16" s="1"/>
  <c r="E72" i="16"/>
  <c r="D72" i="16"/>
  <c r="I72" i="16" s="1"/>
  <c r="E71" i="16"/>
  <c r="K71" i="16" s="1"/>
  <c r="D71" i="16"/>
  <c r="I71" i="16" s="1"/>
  <c r="E70" i="16"/>
  <c r="K70" i="16" s="1"/>
  <c r="D70" i="16"/>
  <c r="I70" i="16" s="1"/>
  <c r="E69" i="16"/>
  <c r="K69" i="16" s="1"/>
  <c r="D69" i="16"/>
  <c r="I69" i="16" s="1"/>
  <c r="E64" i="16"/>
  <c r="K64" i="16" s="1"/>
  <c r="D64" i="16"/>
  <c r="I64" i="16" s="1"/>
  <c r="E63" i="16"/>
  <c r="K63" i="16" s="1"/>
  <c r="D63" i="16"/>
  <c r="I63" i="16" s="1"/>
  <c r="E62" i="16"/>
  <c r="K62" i="16" s="1"/>
  <c r="D62" i="16"/>
  <c r="I62" i="16" s="1"/>
  <c r="E61" i="16"/>
  <c r="K61" i="16" s="1"/>
  <c r="D61" i="16"/>
  <c r="E60" i="16"/>
  <c r="K60" i="16" s="1"/>
  <c r="D60" i="16"/>
  <c r="I60" i="16" s="1"/>
  <c r="E59" i="16"/>
  <c r="K59" i="16" s="1"/>
  <c r="D59" i="16"/>
  <c r="I59" i="16" s="1"/>
  <c r="E58" i="16"/>
  <c r="D58" i="16"/>
  <c r="I58" i="16" s="1"/>
  <c r="E57" i="16"/>
  <c r="K57" i="16" s="1"/>
  <c r="D57" i="16"/>
  <c r="I57" i="16" s="1"/>
  <c r="E56" i="16"/>
  <c r="K56" i="16" s="1"/>
  <c r="D56" i="16"/>
  <c r="I56" i="16" s="1"/>
  <c r="E55" i="16"/>
  <c r="K55" i="16" s="1"/>
  <c r="D55" i="16"/>
  <c r="I55" i="16" s="1"/>
  <c r="E54" i="16"/>
  <c r="K54" i="16" s="1"/>
  <c r="D54" i="16"/>
  <c r="I54" i="16" s="1"/>
  <c r="E50" i="16"/>
  <c r="K50" i="16" s="1"/>
  <c r="D50" i="16"/>
  <c r="I50" i="16" s="1"/>
  <c r="E49" i="16"/>
  <c r="K49" i="16" s="1"/>
  <c r="D49" i="16"/>
  <c r="I49" i="16" s="1"/>
  <c r="E48" i="16"/>
  <c r="K48" i="16" s="1"/>
  <c r="D48" i="16"/>
  <c r="E47" i="16"/>
  <c r="K47" i="16" s="1"/>
  <c r="D47" i="16"/>
  <c r="I47" i="16" s="1"/>
  <c r="E46" i="16"/>
  <c r="K46" i="16" s="1"/>
  <c r="D46" i="16"/>
  <c r="I46" i="16" s="1"/>
  <c r="E45" i="16"/>
  <c r="D45" i="16"/>
  <c r="I45" i="16" s="1"/>
  <c r="E44" i="16"/>
  <c r="K44" i="16" s="1"/>
  <c r="D44" i="16"/>
  <c r="I44" i="16" s="1"/>
  <c r="E43" i="16"/>
  <c r="K43" i="16" s="1"/>
  <c r="D43" i="16"/>
  <c r="I43" i="16" s="1"/>
  <c r="E42" i="16"/>
  <c r="K42" i="16" s="1"/>
  <c r="D42" i="16"/>
  <c r="I42" i="16" s="1"/>
  <c r="E41" i="16"/>
  <c r="K41" i="16" s="1"/>
  <c r="D41" i="16"/>
  <c r="I41" i="16" s="1"/>
  <c r="E40" i="16"/>
  <c r="K40" i="16" s="1"/>
  <c r="L40" i="16" s="1"/>
  <c r="D40" i="16"/>
  <c r="E35" i="16"/>
  <c r="K35" i="16" s="1"/>
  <c r="D35" i="16"/>
  <c r="I35" i="16" s="1"/>
  <c r="E34" i="16"/>
  <c r="K34" i="16" s="1"/>
  <c r="D34" i="16"/>
  <c r="E33" i="16"/>
  <c r="K33" i="16" s="1"/>
  <c r="D33" i="16"/>
  <c r="I33" i="16" s="1"/>
  <c r="E32" i="16"/>
  <c r="K32" i="16" s="1"/>
  <c r="D32" i="16"/>
  <c r="I32" i="16" s="1"/>
  <c r="E31" i="16"/>
  <c r="D31" i="16"/>
  <c r="I31" i="16" s="1"/>
  <c r="E30" i="16"/>
  <c r="K30" i="16" s="1"/>
  <c r="D30" i="16"/>
  <c r="I30" i="16" s="1"/>
  <c r="E29" i="16"/>
  <c r="K29" i="16" s="1"/>
  <c r="D29" i="16"/>
  <c r="I29" i="16" s="1"/>
  <c r="E28" i="16"/>
  <c r="K28" i="16" s="1"/>
  <c r="D28" i="16"/>
  <c r="I28" i="16" s="1"/>
  <c r="E27" i="16"/>
  <c r="K27" i="16" s="1"/>
  <c r="D27" i="16"/>
  <c r="I27" i="16" s="1"/>
  <c r="E26" i="16"/>
  <c r="K26" i="16" s="1"/>
  <c r="D26" i="16"/>
  <c r="E25" i="16"/>
  <c r="K25" i="16" s="1"/>
  <c r="D25" i="16"/>
  <c r="I25" i="16" s="1"/>
  <c r="H11" i="16"/>
  <c r="H12" i="16"/>
  <c r="H13" i="16"/>
  <c r="H14" i="16"/>
  <c r="H15" i="16"/>
  <c r="H16" i="16"/>
  <c r="H17" i="16"/>
  <c r="H18" i="16"/>
  <c r="H19" i="16"/>
  <c r="H20" i="16"/>
  <c r="D11" i="16"/>
  <c r="I11" i="16" s="1"/>
  <c r="E11" i="16"/>
  <c r="K11" i="16" s="1"/>
  <c r="D12" i="16"/>
  <c r="I12" i="16" s="1"/>
  <c r="E12" i="16"/>
  <c r="K12" i="16" s="1"/>
  <c r="D13" i="16"/>
  <c r="I13" i="16" s="1"/>
  <c r="E13" i="16"/>
  <c r="K13" i="16" s="1"/>
  <c r="D14" i="16"/>
  <c r="I14" i="16" s="1"/>
  <c r="E14" i="16"/>
  <c r="K14" i="16" s="1"/>
  <c r="D15" i="16"/>
  <c r="I15" i="16" s="1"/>
  <c r="E15" i="16"/>
  <c r="K15" i="16" s="1"/>
  <c r="D16" i="16"/>
  <c r="I16" i="16" s="1"/>
  <c r="E16" i="16"/>
  <c r="K16" i="16" s="1"/>
  <c r="D17" i="16"/>
  <c r="I17" i="16" s="1"/>
  <c r="E17" i="16"/>
  <c r="K17" i="16" s="1"/>
  <c r="D18" i="16"/>
  <c r="I18" i="16" s="1"/>
  <c r="E18" i="16"/>
  <c r="K18" i="16" s="1"/>
  <c r="D19" i="16"/>
  <c r="I19" i="16" s="1"/>
  <c r="E19" i="16"/>
  <c r="K19" i="16" s="1"/>
  <c r="D20" i="16"/>
  <c r="I20" i="16" s="1"/>
  <c r="E20" i="16"/>
  <c r="K20" i="16" s="1"/>
  <c r="E81" i="16"/>
  <c r="E66" i="16"/>
  <c r="E51" i="16"/>
  <c r="E37" i="16"/>
  <c r="E22" i="16"/>
  <c r="D10" i="16"/>
  <c r="E10" i="16"/>
  <c r="E7" i="16"/>
  <c r="H9" i="16"/>
  <c r="L99" i="16" l="1"/>
  <c r="J25" i="16"/>
  <c r="J54" i="16"/>
  <c r="J114" i="16"/>
  <c r="L25" i="16"/>
  <c r="L84" i="16"/>
  <c r="J189" i="16"/>
  <c r="J69" i="16"/>
  <c r="J84" i="16"/>
  <c r="J204" i="16"/>
  <c r="J234" i="16"/>
  <c r="L69" i="16"/>
  <c r="L174" i="16"/>
  <c r="L219" i="16"/>
  <c r="J40" i="16"/>
  <c r="J144" i="16"/>
  <c r="L159" i="16"/>
  <c r="J174" i="16"/>
  <c r="J219" i="16"/>
  <c r="J99" i="16"/>
  <c r="L204" i="16"/>
  <c r="L54" i="16"/>
  <c r="L144" i="16"/>
  <c r="J159" i="16"/>
  <c r="L114" i="16"/>
  <c r="L189" i="16"/>
  <c r="H10" i="16"/>
  <c r="I7" i="16"/>
  <c r="I10" i="16" l="1"/>
  <c r="K10" i="16" l="1"/>
  <c r="L10" i="16" s="1"/>
  <c r="J10" i="16"/>
</calcChain>
</file>

<file path=xl/sharedStrings.xml><?xml version="1.0" encoding="utf-8"?>
<sst xmlns="http://schemas.openxmlformats.org/spreadsheetml/2006/main" count="286" uniqueCount="42">
  <si>
    <t>Blank Below</t>
  </si>
  <si>
    <t>CH1</t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</si>
  <si>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</si>
  <si>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</si>
  <si>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</si>
  <si>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</si>
  <si>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</si>
  <si>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</si>
  <si>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</si>
  <si>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</si>
  <si>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</si>
  <si>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</si>
  <si>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</si>
  <si>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</si>
  <si>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</si>
  <si>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</si>
  <si>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</si>
  <si>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</si>
  <si>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</si>
  <si>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</si>
  <si>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Accuracy：</t>
    <phoneticPr fontId="7" type="noConversion"/>
  </si>
  <si>
    <t>Max(Range)：</t>
    <phoneticPr fontId="7" type="noConversion"/>
  </si>
  <si>
    <t>Unit：</t>
    <phoneticPr fontId="7" type="noConversion"/>
  </si>
  <si>
    <t>Example</t>
    <phoneticPr fontId="7" type="noConversion"/>
  </si>
  <si>
    <t>Unqualified</t>
    <phoneticPr fontId="7" type="noConversion"/>
  </si>
  <si>
    <t>Qualified</t>
    <phoneticPr fontId="7" type="noConversion"/>
  </si>
  <si>
    <t>Standard pressure</t>
    <phoneticPr fontId="7" type="noConversion"/>
  </si>
  <si>
    <r>
      <t>Min(Range)</t>
    </r>
    <r>
      <rPr>
        <b/>
        <sz val="11"/>
        <color theme="1"/>
        <rFont val="黑体"/>
        <family val="3"/>
        <charset val="134"/>
      </rPr>
      <t>：</t>
    </r>
    <phoneticPr fontId="7" type="noConversion"/>
  </si>
  <si>
    <r>
      <t>Equipment No.</t>
    </r>
    <r>
      <rPr>
        <b/>
        <sz val="11"/>
        <color theme="1"/>
        <rFont val="Yu Gothic"/>
        <family val="2"/>
        <charset val="128"/>
      </rPr>
      <t>：</t>
    </r>
    <phoneticPr fontId="7" type="noConversion"/>
  </si>
  <si>
    <r>
      <t>Cal Date</t>
    </r>
    <r>
      <rPr>
        <b/>
        <sz val="11"/>
        <color theme="1"/>
        <rFont val="Yu Gothic"/>
        <family val="2"/>
        <charset val="128"/>
      </rPr>
      <t>：</t>
    </r>
    <phoneticPr fontId="7" type="noConversion"/>
  </si>
  <si>
    <t>Forward stroke</t>
    <phoneticPr fontId="7" type="noConversion"/>
  </si>
  <si>
    <t>Pressure value of the device under test</t>
    <phoneticPr fontId="7" type="noConversion"/>
  </si>
  <si>
    <r>
      <rPr>
        <i/>
        <sz val="10"/>
        <color theme="1"/>
        <rFont val="Times New Roman"/>
        <family val="1"/>
      </rPr>
      <t>U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%FS</t>
    </r>
    <r>
      <rPr>
        <sz val="10"/>
        <color theme="1"/>
        <rFont val="宋体"/>
        <family val="3"/>
        <charset val="134"/>
      </rPr>
      <t>）
（</t>
    </r>
    <r>
      <rPr>
        <i/>
        <sz val="10"/>
        <color theme="1"/>
        <rFont val="Times New Roman"/>
        <family val="1"/>
      </rPr>
      <t>k</t>
    </r>
    <r>
      <rPr>
        <sz val="10"/>
        <color theme="1"/>
        <rFont val="Times New Roman"/>
        <family val="1"/>
      </rPr>
      <t>=2</t>
    </r>
    <r>
      <rPr>
        <sz val="10"/>
        <color theme="1"/>
        <rFont val="宋体"/>
        <family val="3"/>
        <charset val="134"/>
      </rPr>
      <t>）</t>
    </r>
    <phoneticPr fontId="7" type="noConversion"/>
  </si>
  <si>
    <t>Channel Number:</t>
    <phoneticPr fontId="7" type="noConversion"/>
  </si>
  <si>
    <t>Return stroke</t>
    <phoneticPr fontId="7" type="noConversion"/>
  </si>
  <si>
    <t>Indication Error</t>
    <phoneticPr fontId="7" type="noConversion"/>
  </si>
  <si>
    <t>Hysteresis Error</t>
    <phoneticPr fontId="7" type="noConversion"/>
  </si>
  <si>
    <t>Results of Calibration</t>
    <phoneticPr fontId="7" type="noConversion"/>
  </si>
  <si>
    <t>Certificate No.:</t>
    <phoneticPr fontId="7" type="noConversion"/>
  </si>
  <si>
    <r>
      <rPr>
        <b/>
        <sz val="10"/>
        <color theme="1"/>
        <rFont val="Yu Gothic"/>
        <family val="2"/>
        <charset val="128"/>
      </rPr>
      <t>丨</t>
    </r>
    <r>
      <rPr>
        <b/>
        <sz val="10"/>
        <color theme="1"/>
        <rFont val="Times New Roman"/>
        <family val="1"/>
      </rPr>
      <t>Indication error</t>
    </r>
    <r>
      <rPr>
        <b/>
        <sz val="10"/>
        <color theme="1"/>
        <rFont val="Yu Gothic"/>
        <family val="2"/>
        <charset val="128"/>
      </rPr>
      <t xml:space="preserve">丨
</t>
    </r>
    <r>
      <rPr>
        <b/>
        <sz val="10"/>
        <color theme="1"/>
        <rFont val="Times New Roman"/>
        <family val="1"/>
      </rPr>
      <t>/Full Scale</t>
    </r>
    <phoneticPr fontId="7" type="noConversion"/>
  </si>
  <si>
    <r>
      <rPr>
        <b/>
        <sz val="10"/>
        <color theme="1"/>
        <rFont val="Yu Gothic"/>
        <family val="2"/>
        <charset val="128"/>
      </rPr>
      <t>丨</t>
    </r>
    <r>
      <rPr>
        <b/>
        <sz val="10"/>
        <color theme="1"/>
        <rFont val="Times New Roman"/>
        <family val="1"/>
      </rPr>
      <t>Hysteresis Error</t>
    </r>
    <r>
      <rPr>
        <b/>
        <sz val="10"/>
        <color theme="1"/>
        <rFont val="Yu Gothic"/>
        <family val="2"/>
        <charset val="128"/>
      </rPr>
      <t xml:space="preserve">丨
</t>
    </r>
    <r>
      <rPr>
        <b/>
        <sz val="10"/>
        <color theme="1"/>
        <rFont val="Times New Roman"/>
        <family val="1"/>
      </rPr>
      <t>/Full Scale</t>
    </r>
    <phoneticPr fontId="7" type="noConversion"/>
  </si>
  <si>
    <t>Notes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</si>
</sst>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_ "/>
    <numFmt numFmtId="177" formatCode="0.000%"/>
    <numFmt numFmtId="178" formatCode="0.0000"/>
  </numFmts>
  <fonts count="2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  <font>
      <b/>
      <sz val="11"/>
      <color theme="1"/>
      <name val="Yu Gothic"/>
      <family val="2"/>
      <charset val="128"/>
    </font>
    <font>
      <b/>
      <sz val="10"/>
      <color theme="1"/>
      <name val="Times New Roman"/>
      <family val="1"/>
    </font>
    <font>
      <b/>
      <sz val="10"/>
      <color theme="1"/>
      <name val="Yu Gothic"/>
      <family val="2"/>
      <charset val="128"/>
    </font>
    <font>
      <i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0"/>
      <color theme="1"/>
      <name val="Times New Roman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3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7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1" fillId="0" borderId="0" xfId="2" applyFont="1" applyAlignment="1" applyProtection="1">
      <alignment horizontal="center" vertical="center" wrapText="1"/>
      <protection locked="0"/>
    </xf>
    <xf numFmtId="31" fontId="10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4" fillId="0" borderId="1" xfId="2" applyNumberFormat="1" applyFont="1" applyBorder="1" applyAlignment="1" applyProtection="1">
      <alignment horizontal="center" vertical="center"/>
      <protection locked="0"/>
    </xf>
    <xf numFmtId="178" fontId="6" fillId="0" borderId="1" xfId="2" applyNumberFormat="1" applyFont="1" applyBorder="1" applyAlignment="1" applyProtection="1">
      <alignment horizontal="center" vertical="center" wrapText="1"/>
      <protection locked="0"/>
    </xf>
    <xf numFmtId="178" fontId="6" fillId="0" borderId="3" xfId="2" applyNumberFormat="1" applyFont="1" applyBorder="1" applyAlignment="1" applyProtection="1">
      <alignment horizontal="center" vertical="center"/>
      <protection locked="0"/>
    </xf>
    <xf numFmtId="178" fontId="6" fillId="0" borderId="1" xfId="2" applyNumberFormat="1" applyFont="1" applyBorder="1" applyAlignment="1" applyProtection="1">
      <alignment horizontal="center" vertical="center"/>
      <protection locked="0"/>
    </xf>
    <xf numFmtId="0" fontId="11" fillId="0" borderId="0" xfId="2" applyFont="1" applyAlignment="1" applyProtection="1">
      <alignment vertical="center" wrapText="1"/>
      <protection locked="0"/>
    </xf>
    <xf numFmtId="0" fontId="17" fillId="0" borderId="0" xfId="2" applyFont="1" applyAlignment="1" applyProtection="1">
      <alignment horizontal="center" vertical="center" wrapText="1"/>
      <protection locked="0"/>
    </xf>
    <xf numFmtId="0" fontId="17" fillId="0" borderId="1" xfId="2" applyFont="1" applyBorder="1" applyAlignment="1" applyProtection="1">
      <alignment horizontal="center" vertical="center" wrapText="1"/>
      <protection locked="0"/>
    </xf>
    <xf numFmtId="0" fontId="17" fillId="0" borderId="2" xfId="2" applyFont="1" applyBorder="1" applyAlignment="1" applyProtection="1">
      <alignment horizontal="center" vertical="center" wrapText="1"/>
      <protection locked="0"/>
    </xf>
    <xf numFmtId="0" fontId="17" fillId="0" borderId="3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vertical="center" wrapText="1"/>
      <protection locked="0"/>
    </xf>
    <xf numFmtId="0" fontId="14" fillId="0" borderId="0" xfId="2" applyFont="1" applyAlignment="1" applyProtection="1">
      <alignment horizontal="center" vertical="center" wrapText="1"/>
      <protection locked="0"/>
    </xf>
    <xf numFmtId="0" fontId="6" fillId="0" borderId="0" xfId="0" applyFont="1">
      <alignment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0" fontId="17" fillId="0" borderId="2" xfId="2" applyFont="1" applyBorder="1" applyAlignment="1" applyProtection="1">
      <alignment horizontal="center" vertical="center" wrapText="1"/>
      <protection locked="0"/>
    </xf>
    <xf numFmtId="0" fontId="17" fillId="0" borderId="3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177" fontId="6" fillId="0" borderId="1" xfId="5" applyNumberFormat="1" applyFont="1" applyBorder="1" applyAlignment="1" applyProtection="1">
      <alignment horizontal="center" vertical="center"/>
      <protection locked="0"/>
    </xf>
    <xf numFmtId="0" fontId="21" fillId="0" borderId="5" xfId="2" applyFont="1" applyBorder="1" applyAlignment="1" applyProtection="1">
      <alignment horizontal="center" vertical="center" wrapText="1"/>
      <protection locked="0"/>
    </xf>
    <xf numFmtId="0" fontId="17" fillId="0" borderId="5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/>
    </xf>
    <xf numFmtId="0" fontId="21" fillId="0" borderId="1" xfId="2" applyFont="1" applyBorder="1" applyAlignment="1" applyProtection="1">
      <alignment horizontal="center" vertical="center" wrapText="1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2" applyFont="1" applyBorder="1" applyAlignment="1">
      <alignment horizontal="center" vertical="center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tabSelected="1" topLeftCell="A215" workbookViewId="0">
      <selection activeCell="A247" sqref="A247"/>
    </sheetView>
  </sheetViews>
  <sheetFormatPr defaultColWidth="9" defaultRowHeight="15" x14ac:dyDescent="0.15"/>
  <cols>
    <col min="1" max="1" width="15.25" style="1" customWidth="1"/>
    <col min="2" max="3" width="15.625" style="1" customWidth="1"/>
    <col min="4" max="4" width="15" style="1" customWidth="1"/>
    <col min="5" max="5" width="14.25" style="1" customWidth="1"/>
    <col min="6" max="6" width="12.125" style="1" customWidth="1"/>
    <col min="7" max="7" width="3.75" style="1" customWidth="1"/>
    <col min="8" max="8" width="16.125" style="1" customWidth="1"/>
    <col min="9" max="9" width="15.5" style="1" customWidth="1"/>
    <col min="10" max="10" width="12.25" style="1" customWidth="1"/>
    <col min="11" max="11" width="16.375" style="1" customWidth="1"/>
    <col min="12" max="12" width="13.625" style="1" customWidth="1"/>
    <col min="13" max="13" width="10.5" style="1" customWidth="1"/>
    <col min="14" max="14" width="7.625" style="1" customWidth="1"/>
    <col min="15" max="16384" width="9" style="1"/>
  </cols>
  <sheetData>
    <row r="1" spans="1:14" ht="16.5" customHeight="1" x14ac:dyDescent="0.15">
      <c r="D1" s="1" t="s">
        <v>38</v>
      </c>
      <c r="E1" s="40"/>
      <c r="F1" s="40"/>
      <c r="K1" s="29" t="s">
        <v>23</v>
      </c>
      <c r="L1" s="22" t="s">
        <v>24</v>
      </c>
      <c r="M1" s="22" t="s">
        <v>25</v>
      </c>
    </row>
    <row r="2" spans="1:14" ht="15" customHeight="1" x14ac:dyDescent="0.15">
      <c r="E2" s="3"/>
      <c r="K2" s="30"/>
      <c r="L2" s="8">
        <v>5.4000000000000001E-4</v>
      </c>
      <c r="M2" s="8">
        <v>1E-4</v>
      </c>
    </row>
    <row r="3" spans="1:14" ht="23.1" customHeight="1" x14ac:dyDescent="0.15">
      <c r="A3" s="31" t="s">
        <v>37</v>
      </c>
      <c r="B3" s="32"/>
      <c r="C3" s="32"/>
      <c r="D3" s="32"/>
      <c r="E3" s="32"/>
      <c r="F3" s="32"/>
      <c r="H3" s="31" t="s">
        <v>19</v>
      </c>
      <c r="I3" s="31"/>
      <c r="J3" s="31"/>
      <c r="K3" s="31"/>
      <c r="L3" s="31"/>
      <c r="M3" s="9"/>
      <c r="N3" s="9"/>
    </row>
    <row r="4" spans="1:14" ht="11.1" customHeight="1" x14ac:dyDescent="0.15">
      <c r="A4" s="33"/>
      <c r="B4" s="33"/>
      <c r="C4" s="33"/>
      <c r="D4" s="33"/>
      <c r="E4" s="33"/>
      <c r="F4" s="33"/>
      <c r="H4" s="37"/>
      <c r="I4" s="37"/>
      <c r="J4" s="37"/>
      <c r="K4" s="37"/>
      <c r="L4" s="37"/>
    </row>
    <row r="5" spans="1:14" ht="15" customHeight="1" x14ac:dyDescent="0.15">
      <c r="A5" s="2"/>
      <c r="B5" s="2"/>
      <c r="C5" s="2"/>
      <c r="D5" s="2"/>
      <c r="E5" s="2"/>
      <c r="F5" s="2"/>
      <c r="H5" s="22" t="s">
        <v>28</v>
      </c>
      <c r="I5" s="14"/>
      <c r="J5" s="22" t="s">
        <v>29</v>
      </c>
      <c r="K5" s="13"/>
      <c r="L5" s="22" t="s">
        <v>22</v>
      </c>
      <c r="M5" s="14" t="s">
        <v>18</v>
      </c>
    </row>
    <row r="6" spans="1:14" s="4" customFormat="1" ht="15" customHeight="1" x14ac:dyDescent="0.15">
      <c r="A6" s="5"/>
      <c r="B6" s="5"/>
      <c r="C6" s="5"/>
      <c r="D6" s="5"/>
      <c r="E6" s="5"/>
      <c r="F6" s="5"/>
      <c r="H6" s="22" t="s">
        <v>20</v>
      </c>
      <c r="I6" s="11">
        <v>0.05</v>
      </c>
      <c r="J6" s="22" t="s">
        <v>27</v>
      </c>
      <c r="K6" s="10">
        <v>0</v>
      </c>
      <c r="L6" s="22" t="s">
        <v>21</v>
      </c>
      <c r="M6" s="11">
        <v>100</v>
      </c>
    </row>
    <row r="7" spans="1:14" s="4" customFormat="1" ht="18.600000000000001" customHeight="1" x14ac:dyDescent="0.15">
      <c r="A7" s="21" t="s">
        <v>33</v>
      </c>
      <c r="B7" s="7" t="s">
        <v>1</v>
      </c>
      <c r="C7" s="12"/>
      <c r="D7" s="12" t="s">
        <v>22</v>
      </c>
      <c r="E7" s="25" t="str">
        <f>$M$5</f>
        <v>psi</v>
      </c>
      <c r="F7" s="20"/>
      <c r="H7" s="21" t="s">
        <v>33</v>
      </c>
      <c r="I7" s="7" t="str">
        <f>B7</f>
        <v>CH1</v>
      </c>
      <c r="K7" s="26"/>
      <c r="L7" s="7"/>
      <c r="M7" s="7"/>
    </row>
    <row r="8" spans="1:14" s="4" customFormat="1" ht="15" customHeight="1" x14ac:dyDescent="0.15">
      <c r="A8" s="28" t="s">
        <v>26</v>
      </c>
      <c r="B8" s="28" t="s">
        <v>31</v>
      </c>
      <c r="C8" s="28"/>
      <c r="D8" s="29" t="s">
        <v>35</v>
      </c>
      <c r="E8" s="29" t="s">
        <v>36</v>
      </c>
      <c r="F8" s="28" t="s">
        <v>32</v>
      </c>
      <c r="H8" s="23" t="s">
        <v>26</v>
      </c>
      <c r="I8" s="35" t="s">
        <v>39</v>
      </c>
      <c r="J8" s="28" t="s">
        <v>17</v>
      </c>
      <c r="K8" s="38" t="s">
        <v>40</v>
      </c>
      <c r="L8" s="28" t="s">
        <v>17</v>
      </c>
      <c r="M8" s="28" t="s">
        <v>41</v>
      </c>
    </row>
    <row r="9" spans="1:14" s="4" customFormat="1" x14ac:dyDescent="0.15">
      <c r="A9" s="28"/>
      <c r="B9" s="22" t="s">
        <v>30</v>
      </c>
      <c r="C9" s="22" t="s">
        <v>34</v>
      </c>
      <c r="D9" s="30"/>
      <c r="E9" s="30"/>
      <c r="F9" s="28"/>
      <c r="H9" s="24" t="str">
        <f>"（"&amp;$M$5&amp;"）"</f>
        <v>（psi）</v>
      </c>
      <c r="I9" s="36"/>
      <c r="J9" s="28"/>
      <c r="K9" s="28"/>
      <c r="L9" s="28"/>
      <c r="M9" s="28"/>
    </row>
    <row r="10" spans="1:14" s="4" customFormat="1" x14ac:dyDescent="0.15">
      <c r="A10" s="15">
        <v>1</v>
      </c>
      <c r="B10" s="15">
        <v>0</v>
      </c>
      <c r="C10" s="16">
        <v>0</v>
      </c>
      <c r="D10" s="17">
        <f>IF(ABS(B10-A10)&gt;ABS(C10-A10),B10-A10,C10-A10)</f>
        <v>-1</v>
      </c>
      <c r="E10" s="17">
        <f>ABS(B10-C10)</f>
        <v>0</v>
      </c>
      <c r="F10" s="6">
        <v>1.4E-2</v>
      </c>
      <c r="H10" s="18">
        <f t="shared" ref="H10:H20" si="0">A10</f>
        <v>1</v>
      </c>
      <c r="I10" s="8">
        <f>ABS(D10)/($M$6-$K$6)</f>
        <v>0.01</v>
      </c>
      <c r="J10" s="34">
        <f>MAX(I10:I20)</f>
        <v>0.11</v>
      </c>
      <c r="K10" s="8">
        <f>ABS(E10)/($M$6-$K$6)</f>
        <v>0</v>
      </c>
      <c r="L10" s="34">
        <f>MAX(K10:K20)</f>
        <v>0</v>
      </c>
      <c r="M10" s="39"/>
    </row>
    <row r="11" spans="1:14" s="4" customFormat="1" x14ac:dyDescent="0.15">
      <c r="A11" s="15">
        <v>2</v>
      </c>
      <c r="B11" s="15">
        <v>0</v>
      </c>
      <c r="C11" s="16">
        <v>0</v>
      </c>
      <c r="D11" s="17">
        <f t="shared" ref="D11:D20" si="1">IF(ABS(B11-A11)&gt;ABS(C11-A11),B11-A11,C11-A11)</f>
        <v>-2</v>
      </c>
      <c r="E11" s="17">
        <f t="shared" ref="E11:E20" si="2">ABS(B11-C11)</f>
        <v>0</v>
      </c>
      <c r="F11" s="6">
        <v>1.4E-2</v>
      </c>
      <c r="H11" s="19">
        <f t="shared" si="0"/>
        <v>2</v>
      </c>
      <c r="I11" s="8">
        <f t="shared" ref="I11:I20" si="3">ABS(D11)/($M$6-$K$6)</f>
        <v>0.02</v>
      </c>
      <c r="J11" s="34"/>
      <c r="K11" s="8">
        <f t="shared" ref="K11:K20" si="4">ABS(E11)/($M$6-$K$6)</f>
        <v>0</v>
      </c>
      <c r="L11" s="34"/>
      <c r="M11" s="39"/>
    </row>
    <row r="12" spans="1:14" s="4" customFormat="1" x14ac:dyDescent="0.15">
      <c r="A12" s="15">
        <v>3</v>
      </c>
      <c r="B12" s="15">
        <v>0</v>
      </c>
      <c r="C12" s="16">
        <v>0</v>
      </c>
      <c r="D12" s="17">
        <f t="shared" si="1"/>
        <v>-3</v>
      </c>
      <c r="E12" s="17">
        <f t="shared" si="2"/>
        <v>0</v>
      </c>
      <c r="F12" s="6">
        <v>1.4E-2</v>
      </c>
      <c r="H12" s="19">
        <f t="shared" si="0"/>
        <v>3</v>
      </c>
      <c r="I12" s="8">
        <f t="shared" si="3"/>
        <v>0.03</v>
      </c>
      <c r="J12" s="34"/>
      <c r="K12" s="8">
        <f t="shared" si="4"/>
        <v>0</v>
      </c>
      <c r="L12" s="34"/>
      <c r="M12" s="39"/>
    </row>
    <row r="13" spans="1:14" s="4" customFormat="1" x14ac:dyDescent="0.15">
      <c r="A13" s="15">
        <v>4</v>
      </c>
      <c r="B13" s="15">
        <v>0</v>
      </c>
      <c r="C13" s="16">
        <v>0</v>
      </c>
      <c r="D13" s="17">
        <f t="shared" si="1"/>
        <v>-4</v>
      </c>
      <c r="E13" s="17">
        <f t="shared" si="2"/>
        <v>0</v>
      </c>
      <c r="F13" s="6">
        <v>1.4E-2</v>
      </c>
      <c r="H13" s="19">
        <f t="shared" si="0"/>
        <v>4</v>
      </c>
      <c r="I13" s="8">
        <f t="shared" si="3"/>
        <v>0.04</v>
      </c>
      <c r="J13" s="34"/>
      <c r="K13" s="8">
        <f t="shared" si="4"/>
        <v>0</v>
      </c>
      <c r="L13" s="34"/>
      <c r="M13" s="39"/>
    </row>
    <row r="14" spans="1:14" s="4" customFormat="1" x14ac:dyDescent="0.15">
      <c r="A14" s="15">
        <v>5</v>
      </c>
      <c r="B14" s="15">
        <v>0</v>
      </c>
      <c r="C14" s="16">
        <v>0</v>
      </c>
      <c r="D14" s="17">
        <f t="shared" si="1"/>
        <v>-5</v>
      </c>
      <c r="E14" s="17">
        <f t="shared" si="2"/>
        <v>0</v>
      </c>
      <c r="F14" s="6">
        <v>1.4E-2</v>
      </c>
      <c r="H14" s="19">
        <f t="shared" si="0"/>
        <v>5</v>
      </c>
      <c r="I14" s="8">
        <f t="shared" si="3"/>
        <v>0.05</v>
      </c>
      <c r="J14" s="34"/>
      <c r="K14" s="8">
        <f t="shared" si="4"/>
        <v>0</v>
      </c>
      <c r="L14" s="34"/>
      <c r="M14" s="39"/>
    </row>
    <row r="15" spans="1:14" s="4" customFormat="1" x14ac:dyDescent="0.15">
      <c r="A15" s="15">
        <v>6</v>
      </c>
      <c r="B15" s="15">
        <v>0</v>
      </c>
      <c r="C15" s="16">
        <v>0</v>
      </c>
      <c r="D15" s="17">
        <f t="shared" si="1"/>
        <v>-6</v>
      </c>
      <c r="E15" s="17">
        <f t="shared" si="2"/>
        <v>0</v>
      </c>
      <c r="F15" s="6">
        <v>1.4E-2</v>
      </c>
      <c r="H15" s="19">
        <f t="shared" si="0"/>
        <v>6</v>
      </c>
      <c r="I15" s="8">
        <f t="shared" si="3"/>
        <v>0.06</v>
      </c>
      <c r="J15" s="34"/>
      <c r="K15" s="8">
        <f t="shared" si="4"/>
        <v>0</v>
      </c>
      <c r="L15" s="34"/>
      <c r="M15" s="39"/>
    </row>
    <row r="16" spans="1:14" s="4" customFormat="1" x14ac:dyDescent="0.15">
      <c r="A16" s="15">
        <v>7</v>
      </c>
      <c r="B16" s="15">
        <v>0</v>
      </c>
      <c r="C16" s="16">
        <v>0</v>
      </c>
      <c r="D16" s="17">
        <f t="shared" si="1"/>
        <v>-7</v>
      </c>
      <c r="E16" s="17">
        <f t="shared" si="2"/>
        <v>0</v>
      </c>
      <c r="F16" s="6">
        <v>1.4E-2</v>
      </c>
      <c r="H16" s="19">
        <f t="shared" si="0"/>
        <v>7</v>
      </c>
      <c r="I16" s="8">
        <f t="shared" si="3"/>
        <v>7.0000000000000007E-2</v>
      </c>
      <c r="J16" s="34"/>
      <c r="K16" s="8">
        <f t="shared" si="4"/>
        <v>0</v>
      </c>
      <c r="L16" s="34"/>
      <c r="M16" s="39"/>
    </row>
    <row r="17" spans="1:13" s="4" customFormat="1" x14ac:dyDescent="0.15">
      <c r="A17" s="15">
        <v>8</v>
      </c>
      <c r="B17" s="15">
        <v>0</v>
      </c>
      <c r="C17" s="16">
        <v>0</v>
      </c>
      <c r="D17" s="17">
        <f t="shared" si="1"/>
        <v>-8</v>
      </c>
      <c r="E17" s="17">
        <f t="shared" si="2"/>
        <v>0</v>
      </c>
      <c r="F17" s="6">
        <v>1.4E-2</v>
      </c>
      <c r="H17" s="19">
        <f t="shared" si="0"/>
        <v>8</v>
      </c>
      <c r="I17" s="8">
        <f t="shared" si="3"/>
        <v>0.08</v>
      </c>
      <c r="J17" s="34"/>
      <c r="K17" s="8">
        <f t="shared" si="4"/>
        <v>0</v>
      </c>
      <c r="L17" s="34"/>
      <c r="M17" s="39"/>
    </row>
    <row r="18" spans="1:13" x14ac:dyDescent="0.15">
      <c r="A18" s="15">
        <v>9</v>
      </c>
      <c r="B18" s="15">
        <v>0</v>
      </c>
      <c r="C18" s="16">
        <v>0</v>
      </c>
      <c r="D18" s="17">
        <f t="shared" si="1"/>
        <v>-9</v>
      </c>
      <c r="E18" s="17">
        <f t="shared" si="2"/>
        <v>0</v>
      </c>
      <c r="F18" s="6">
        <v>1.4E-2</v>
      </c>
      <c r="H18" s="19">
        <f t="shared" si="0"/>
        <v>9</v>
      </c>
      <c r="I18" s="8">
        <f t="shared" si="3"/>
        <v>0.09</v>
      </c>
      <c r="J18" s="34"/>
      <c r="K18" s="8">
        <f t="shared" si="4"/>
        <v>0</v>
      </c>
      <c r="L18" s="34"/>
      <c r="M18" s="39"/>
    </row>
    <row r="19" spans="1:13" x14ac:dyDescent="0.15">
      <c r="A19" s="15">
        <v>10</v>
      </c>
      <c r="B19" s="15">
        <v>0</v>
      </c>
      <c r="C19" s="16">
        <v>0</v>
      </c>
      <c r="D19" s="17">
        <f t="shared" si="1"/>
        <v>-10</v>
      </c>
      <c r="E19" s="17">
        <f t="shared" si="2"/>
        <v>0</v>
      </c>
      <c r="F19" s="6">
        <v>1.4E-2</v>
      </c>
      <c r="H19" s="19">
        <f t="shared" si="0"/>
        <v>10</v>
      </c>
      <c r="I19" s="8">
        <f t="shared" si="3"/>
        <v>0.1</v>
      </c>
      <c r="J19" s="34"/>
      <c r="K19" s="8">
        <f t="shared" si="4"/>
        <v>0</v>
      </c>
      <c r="L19" s="34"/>
      <c r="M19" s="39"/>
    </row>
    <row r="20" spans="1:13" x14ac:dyDescent="0.15">
      <c r="A20" s="15">
        <v>11</v>
      </c>
      <c r="B20" s="15">
        <v>0</v>
      </c>
      <c r="C20" s="16">
        <v>0</v>
      </c>
      <c r="D20" s="17">
        <f t="shared" si="1"/>
        <v>-11</v>
      </c>
      <c r="E20" s="17">
        <f t="shared" si="2"/>
        <v>0</v>
      </c>
      <c r="F20" s="6">
        <v>1.4E-2</v>
      </c>
      <c r="H20" s="19">
        <f t="shared" si="0"/>
        <v>11</v>
      </c>
      <c r="I20" s="8">
        <f t="shared" si="3"/>
        <v>0.11</v>
      </c>
      <c r="J20" s="34"/>
      <c r="K20" s="8">
        <f t="shared" si="4"/>
        <v>0</v>
      </c>
      <c r="L20" s="34"/>
      <c r="M20" s="39"/>
    </row>
    <row r="21" spans="1:13" ht="11.25" customHeight="1" x14ac:dyDescent="0.15"/>
    <row r="22" spans="1:13" ht="15" customHeight="1" x14ac:dyDescent="0.15">
      <c r="A22" s="21" t="s">
        <v>33</v>
      </c>
      <c r="B22" s="7" t="s">
        <v>2</v>
      </c>
      <c r="C22" s="12"/>
      <c r="D22" s="12" t="s">
        <v>22</v>
      </c>
      <c r="E22" s="25" t="str">
        <f>$M$5</f>
        <v>psi</v>
      </c>
      <c r="F22" s="20"/>
      <c r="H22" s="21" t="s">
        <v>33</v>
      </c>
      <c r="I22" s="7" t="str">
        <f>B22</f>
        <v>CH2</v>
      </c>
      <c r="J22" s="4"/>
      <c r="K22" s="26"/>
      <c r="L22" s="7"/>
      <c r="M22" s="7"/>
    </row>
    <row r="23" spans="1:13" ht="15" customHeight="1" x14ac:dyDescent="0.15">
      <c r="A23" s="28" t="s">
        <v>26</v>
      </c>
      <c r="B23" s="28" t="s">
        <v>31</v>
      </c>
      <c r="C23" s="28"/>
      <c r="D23" s="29" t="s">
        <v>35</v>
      </c>
      <c r="E23" s="29" t="s">
        <v>36</v>
      </c>
      <c r="F23" s="28" t="s">
        <v>32</v>
      </c>
      <c r="H23" s="23" t="s">
        <v>26</v>
      </c>
      <c r="I23" s="35" t="s">
        <v>39</v>
      </c>
      <c r="J23" s="28" t="s">
        <v>17</v>
      </c>
      <c r="K23" s="38" t="s">
        <v>40</v>
      </c>
      <c r="L23" s="28" t="s">
        <v>17</v>
      </c>
      <c r="M23" s="28" t="s">
        <v>41</v>
      </c>
    </row>
    <row r="24" spans="1:13" x14ac:dyDescent="0.15">
      <c r="A24" s="28"/>
      <c r="B24" s="22" t="s">
        <v>30</v>
      </c>
      <c r="C24" s="22" t="s">
        <v>34</v>
      </c>
      <c r="D24" s="30"/>
      <c r="E24" s="30"/>
      <c r="F24" s="28"/>
      <c r="H24" s="24" t="str">
        <f>"（"&amp;$M$5&amp;"）"</f>
        <v>（psi）</v>
      </c>
      <c r="I24" s="36"/>
      <c r="J24" s="28"/>
      <c r="K24" s="28"/>
      <c r="L24" s="28"/>
      <c r="M24" s="28"/>
    </row>
    <row r="25" spans="1:13" x14ac:dyDescent="0.15">
      <c r="A25" s="15">
        <v>1</v>
      </c>
      <c r="B25" s="15">
        <v>0</v>
      </c>
      <c r="C25" s="16">
        <v>0</v>
      </c>
      <c r="D25" s="17">
        <f>IF(ABS(B25-A25)&gt;ABS(C25-A25),B25-A25,C25-A25)</f>
        <v>-1</v>
      </c>
      <c r="E25" s="17">
        <f>ABS(B25-C25)</f>
        <v>0</v>
      </c>
      <c r="F25" s="6">
        <v>1.4E-2</v>
      </c>
      <c r="H25" s="18">
        <f t="shared" ref="H25:H35" si="5">A25</f>
        <v>1</v>
      </c>
      <c r="I25" s="8">
        <f>ABS(D25)/($M$6-$K$6)</f>
        <v>0.01</v>
      </c>
      <c r="J25" s="34">
        <f>MAX(I25:I35)</f>
        <v>0.11</v>
      </c>
      <c r="K25" s="8">
        <f>ABS(E25)/($M$6-$K$6)</f>
        <v>0</v>
      </c>
      <c r="L25" s="34">
        <f>MAX(K25:K35)</f>
        <v>0</v>
      </c>
      <c r="M25" s="39"/>
    </row>
    <row r="26" spans="1:13" x14ac:dyDescent="0.15">
      <c r="A26" s="15">
        <v>2</v>
      </c>
      <c r="B26" s="15">
        <v>0</v>
      </c>
      <c r="C26" s="16">
        <v>0</v>
      </c>
      <c r="D26" s="17">
        <f t="shared" ref="D26:D35" si="6">IF(ABS(B26-A26)&gt;ABS(C26-A26),B26-A26,C26-A26)</f>
        <v>-2</v>
      </c>
      <c r="E26" s="17">
        <f t="shared" ref="E26:E35" si="7">ABS(B26-C26)</f>
        <v>0</v>
      </c>
      <c r="F26" s="6">
        <v>1.4E-2</v>
      </c>
      <c r="H26" s="19">
        <f t="shared" si="5"/>
        <v>2</v>
      </c>
      <c r="I26" s="8">
        <f t="shared" ref="I26:I35" si="8">ABS(D26)/($M$6-$K$6)</f>
        <v>0.02</v>
      </c>
      <c r="J26" s="34"/>
      <c r="K26" s="8">
        <f t="shared" ref="K26:K35" si="9">ABS(E26)/($M$6-$K$6)</f>
        <v>0</v>
      </c>
      <c r="L26" s="34"/>
      <c r="M26" s="39"/>
    </row>
    <row r="27" spans="1:13" x14ac:dyDescent="0.15">
      <c r="A27" s="15">
        <v>3</v>
      </c>
      <c r="B27" s="15">
        <v>0</v>
      </c>
      <c r="C27" s="16">
        <v>0</v>
      </c>
      <c r="D27" s="17">
        <f t="shared" si="6"/>
        <v>-3</v>
      </c>
      <c r="E27" s="17">
        <f t="shared" si="7"/>
        <v>0</v>
      </c>
      <c r="F27" s="6">
        <v>1.4E-2</v>
      </c>
      <c r="H27" s="19">
        <f t="shared" si="5"/>
        <v>3</v>
      </c>
      <c r="I27" s="8">
        <f t="shared" si="8"/>
        <v>0.03</v>
      </c>
      <c r="J27" s="34"/>
      <c r="K27" s="8">
        <f t="shared" si="9"/>
        <v>0</v>
      </c>
      <c r="L27" s="34"/>
      <c r="M27" s="39"/>
    </row>
    <row r="28" spans="1:13" x14ac:dyDescent="0.15">
      <c r="A28" s="15">
        <v>4</v>
      </c>
      <c r="B28" s="15">
        <v>0</v>
      </c>
      <c r="C28" s="16">
        <v>0</v>
      </c>
      <c r="D28" s="17">
        <f t="shared" si="6"/>
        <v>-4</v>
      </c>
      <c r="E28" s="17">
        <f t="shared" si="7"/>
        <v>0</v>
      </c>
      <c r="F28" s="6">
        <v>1.4E-2</v>
      </c>
      <c r="H28" s="19">
        <f t="shared" si="5"/>
        <v>4</v>
      </c>
      <c r="I28" s="8">
        <f t="shared" si="8"/>
        <v>0.04</v>
      </c>
      <c r="J28" s="34"/>
      <c r="K28" s="8">
        <f t="shared" si="9"/>
        <v>0</v>
      </c>
      <c r="L28" s="34"/>
      <c r="M28" s="39"/>
    </row>
    <row r="29" spans="1:13" x14ac:dyDescent="0.15">
      <c r="A29" s="15">
        <v>5</v>
      </c>
      <c r="B29" s="15">
        <v>0</v>
      </c>
      <c r="C29" s="16">
        <v>0</v>
      </c>
      <c r="D29" s="17">
        <f t="shared" si="6"/>
        <v>-5</v>
      </c>
      <c r="E29" s="17">
        <f t="shared" si="7"/>
        <v>0</v>
      </c>
      <c r="F29" s="6">
        <v>1.4E-2</v>
      </c>
      <c r="H29" s="19">
        <f t="shared" si="5"/>
        <v>5</v>
      </c>
      <c r="I29" s="8">
        <f t="shared" si="8"/>
        <v>0.05</v>
      </c>
      <c r="J29" s="34"/>
      <c r="K29" s="8">
        <f t="shared" si="9"/>
        <v>0</v>
      </c>
      <c r="L29" s="34"/>
      <c r="M29" s="39"/>
    </row>
    <row r="30" spans="1:13" x14ac:dyDescent="0.15">
      <c r="A30" s="15">
        <v>6</v>
      </c>
      <c r="B30" s="15">
        <v>0</v>
      </c>
      <c r="C30" s="16">
        <v>0</v>
      </c>
      <c r="D30" s="17">
        <f t="shared" si="6"/>
        <v>-6</v>
      </c>
      <c r="E30" s="17">
        <f t="shared" si="7"/>
        <v>0</v>
      </c>
      <c r="F30" s="6">
        <v>1.4E-2</v>
      </c>
      <c r="H30" s="19">
        <f t="shared" si="5"/>
        <v>6</v>
      </c>
      <c r="I30" s="8">
        <f t="shared" si="8"/>
        <v>0.06</v>
      </c>
      <c r="J30" s="34"/>
      <c r="K30" s="8">
        <f t="shared" si="9"/>
        <v>0</v>
      </c>
      <c r="L30" s="34"/>
      <c r="M30" s="39"/>
    </row>
    <row r="31" spans="1:13" x14ac:dyDescent="0.15">
      <c r="A31" s="15">
        <v>7</v>
      </c>
      <c r="B31" s="15">
        <v>0</v>
      </c>
      <c r="C31" s="16">
        <v>0</v>
      </c>
      <c r="D31" s="17">
        <f t="shared" si="6"/>
        <v>-7</v>
      </c>
      <c r="E31" s="17">
        <f t="shared" si="7"/>
        <v>0</v>
      </c>
      <c r="F31" s="6">
        <v>1.4E-2</v>
      </c>
      <c r="H31" s="19">
        <f t="shared" si="5"/>
        <v>7</v>
      </c>
      <c r="I31" s="8">
        <f t="shared" si="8"/>
        <v>7.0000000000000007E-2</v>
      </c>
      <c r="J31" s="34"/>
      <c r="K31" s="8">
        <f t="shared" si="9"/>
        <v>0</v>
      </c>
      <c r="L31" s="34"/>
      <c r="M31" s="39"/>
    </row>
    <row r="32" spans="1:13" x14ac:dyDescent="0.15">
      <c r="A32" s="15">
        <v>8</v>
      </c>
      <c r="B32" s="15">
        <v>0</v>
      </c>
      <c r="C32" s="16">
        <v>0</v>
      </c>
      <c r="D32" s="17">
        <f t="shared" si="6"/>
        <v>-8</v>
      </c>
      <c r="E32" s="17">
        <f t="shared" si="7"/>
        <v>0</v>
      </c>
      <c r="F32" s="6">
        <v>1.4E-2</v>
      </c>
      <c r="H32" s="19">
        <f t="shared" si="5"/>
        <v>8</v>
      </c>
      <c r="I32" s="8">
        <f t="shared" si="8"/>
        <v>0.08</v>
      </c>
      <c r="J32" s="34"/>
      <c r="K32" s="8">
        <f t="shared" si="9"/>
        <v>0</v>
      </c>
      <c r="L32" s="34"/>
      <c r="M32" s="39"/>
    </row>
    <row r="33" spans="1:13" x14ac:dyDescent="0.15">
      <c r="A33" s="15">
        <v>9</v>
      </c>
      <c r="B33" s="15">
        <v>0</v>
      </c>
      <c r="C33" s="16">
        <v>0</v>
      </c>
      <c r="D33" s="17">
        <f t="shared" si="6"/>
        <v>-9</v>
      </c>
      <c r="E33" s="17">
        <f t="shared" si="7"/>
        <v>0</v>
      </c>
      <c r="F33" s="6">
        <v>1.4E-2</v>
      </c>
      <c r="H33" s="19">
        <f t="shared" si="5"/>
        <v>9</v>
      </c>
      <c r="I33" s="8">
        <f t="shared" si="8"/>
        <v>0.09</v>
      </c>
      <c r="J33" s="34"/>
      <c r="K33" s="8">
        <f t="shared" si="9"/>
        <v>0</v>
      </c>
      <c r="L33" s="34"/>
      <c r="M33" s="39"/>
    </row>
    <row r="34" spans="1:13" x14ac:dyDescent="0.15">
      <c r="A34" s="15">
        <v>10</v>
      </c>
      <c r="B34" s="15">
        <v>0</v>
      </c>
      <c r="C34" s="16">
        <v>0</v>
      </c>
      <c r="D34" s="17">
        <f t="shared" si="6"/>
        <v>-10</v>
      </c>
      <c r="E34" s="17">
        <f t="shared" si="7"/>
        <v>0</v>
      </c>
      <c r="F34" s="6">
        <v>1.4E-2</v>
      </c>
      <c r="H34" s="19">
        <f t="shared" si="5"/>
        <v>10</v>
      </c>
      <c r="I34" s="8">
        <f t="shared" si="8"/>
        <v>0.1</v>
      </c>
      <c r="J34" s="34"/>
      <c r="K34" s="8">
        <f t="shared" si="9"/>
        <v>0</v>
      </c>
      <c r="L34" s="34"/>
      <c r="M34" s="39"/>
    </row>
    <row r="35" spans="1:13" x14ac:dyDescent="0.15">
      <c r="A35" s="15">
        <v>11</v>
      </c>
      <c r="B35" s="15">
        <v>0</v>
      </c>
      <c r="C35" s="16">
        <v>0</v>
      </c>
      <c r="D35" s="17">
        <f t="shared" si="6"/>
        <v>-11</v>
      </c>
      <c r="E35" s="17">
        <f t="shared" si="7"/>
        <v>0</v>
      </c>
      <c r="F35" s="6">
        <v>1.4E-2</v>
      </c>
      <c r="H35" s="19">
        <f t="shared" si="5"/>
        <v>11</v>
      </c>
      <c r="I35" s="8">
        <f t="shared" si="8"/>
        <v>0.11</v>
      </c>
      <c r="J35" s="34"/>
      <c r="K35" s="8">
        <f t="shared" si="9"/>
        <v>0</v>
      </c>
      <c r="L35" s="34"/>
      <c r="M35" s="39"/>
    </row>
    <row r="36" spans="1:13" ht="9" customHeight="1" x14ac:dyDescent="0.15"/>
    <row r="37" spans="1:13" ht="15" customHeight="1" x14ac:dyDescent="0.15">
      <c r="A37" s="21" t="s">
        <v>33</v>
      </c>
      <c r="B37" s="7" t="s">
        <v>3</v>
      </c>
      <c r="C37" s="12"/>
      <c r="D37" s="12" t="s">
        <v>22</v>
      </c>
      <c r="E37" s="25" t="str">
        <f>$M$5</f>
        <v>psi</v>
      </c>
      <c r="F37" s="20"/>
      <c r="H37" s="21" t="s">
        <v>33</v>
      </c>
      <c r="I37" s="7" t="str">
        <f>B37</f>
        <v>CH3</v>
      </c>
      <c r="J37" s="4"/>
      <c r="K37" s="26"/>
      <c r="L37" s="7"/>
      <c r="M37" s="7"/>
    </row>
    <row r="38" spans="1:13" ht="15" customHeight="1" x14ac:dyDescent="0.15">
      <c r="A38" s="28" t="s">
        <v>26</v>
      </c>
      <c r="B38" s="28" t="s">
        <v>31</v>
      </c>
      <c r="C38" s="28"/>
      <c r="D38" s="29" t="s">
        <v>35</v>
      </c>
      <c r="E38" s="29" t="s">
        <v>36</v>
      </c>
      <c r="F38" s="28" t="s">
        <v>32</v>
      </c>
      <c r="H38" s="23" t="s">
        <v>26</v>
      </c>
      <c r="I38" s="35" t="s">
        <v>39</v>
      </c>
      <c r="J38" s="28" t="s">
        <v>17</v>
      </c>
      <c r="K38" s="38" t="s">
        <v>40</v>
      </c>
      <c r="L38" s="28" t="s">
        <v>17</v>
      </c>
      <c r="M38" s="28" t="s">
        <v>41</v>
      </c>
    </row>
    <row r="39" spans="1:13" x14ac:dyDescent="0.15">
      <c r="A39" s="28"/>
      <c r="B39" s="22" t="s">
        <v>30</v>
      </c>
      <c r="C39" s="22" t="s">
        <v>34</v>
      </c>
      <c r="D39" s="30"/>
      <c r="E39" s="30"/>
      <c r="F39" s="28"/>
      <c r="H39" s="24" t="str">
        <f>"（"&amp;$M$5&amp;"）"</f>
        <v>（psi）</v>
      </c>
      <c r="I39" s="36"/>
      <c r="J39" s="28"/>
      <c r="K39" s="28"/>
      <c r="L39" s="28"/>
      <c r="M39" s="28"/>
    </row>
    <row r="40" spans="1:13" x14ac:dyDescent="0.15">
      <c r="A40" s="15">
        <v>1</v>
      </c>
      <c r="B40" s="15">
        <v>0</v>
      </c>
      <c r="C40" s="16">
        <v>0</v>
      </c>
      <c r="D40" s="17">
        <f>IF(ABS(B40-A40)&gt;ABS(C40-A40),B40-A40,C40-A40)</f>
        <v>-1</v>
      </c>
      <c r="E40" s="17">
        <f>ABS(B40-C40)</f>
        <v>0</v>
      </c>
      <c r="F40" s="6">
        <v>1.4E-2</v>
      </c>
      <c r="H40" s="18">
        <f t="shared" ref="H40:H50" si="10">A40</f>
        <v>1</v>
      </c>
      <c r="I40" s="8">
        <f>ABS(D40)/($M$6-$K$6)</f>
        <v>0.01</v>
      </c>
      <c r="J40" s="34">
        <f>MAX(I40:I50)</f>
        <v>0.11</v>
      </c>
      <c r="K40" s="8">
        <f>ABS(E40)/($M$6-$K$6)</f>
        <v>0</v>
      </c>
      <c r="L40" s="34">
        <f>MAX(K40:K50)</f>
        <v>0</v>
      </c>
      <c r="M40" s="39"/>
    </row>
    <row r="41" spans="1:13" x14ac:dyDescent="0.15">
      <c r="A41" s="15">
        <v>2</v>
      </c>
      <c r="B41" s="15">
        <v>0</v>
      </c>
      <c r="C41" s="16">
        <v>0</v>
      </c>
      <c r="D41" s="17">
        <f t="shared" ref="D41:D50" si="11">IF(ABS(B41-A41)&gt;ABS(C41-A41),B41-A41,C41-A41)</f>
        <v>-2</v>
      </c>
      <c r="E41" s="17">
        <f t="shared" ref="E41:E50" si="12">ABS(B41-C41)</f>
        <v>0</v>
      </c>
      <c r="F41" s="6">
        <v>1.4E-2</v>
      </c>
      <c r="H41" s="19">
        <f t="shared" si="10"/>
        <v>2</v>
      </c>
      <c r="I41" s="8">
        <f t="shared" ref="I41:I50" si="13">ABS(D41)/($M$6-$K$6)</f>
        <v>0.02</v>
      </c>
      <c r="J41" s="34"/>
      <c r="K41" s="8">
        <f t="shared" ref="K41:K50" si="14">ABS(E41)/($M$6-$K$6)</f>
        <v>0</v>
      </c>
      <c r="L41" s="34"/>
      <c r="M41" s="39"/>
    </row>
    <row r="42" spans="1:13" x14ac:dyDescent="0.15">
      <c r="A42" s="15">
        <v>3</v>
      </c>
      <c r="B42" s="15">
        <v>0</v>
      </c>
      <c r="C42" s="16">
        <v>0</v>
      </c>
      <c r="D42" s="17">
        <f t="shared" si="11"/>
        <v>-3</v>
      </c>
      <c r="E42" s="17">
        <f t="shared" si="12"/>
        <v>0</v>
      </c>
      <c r="F42" s="6">
        <v>1.4E-2</v>
      </c>
      <c r="H42" s="19">
        <f t="shared" si="10"/>
        <v>3</v>
      </c>
      <c r="I42" s="8">
        <f t="shared" si="13"/>
        <v>0.03</v>
      </c>
      <c r="J42" s="34"/>
      <c r="K42" s="8">
        <f t="shared" si="14"/>
        <v>0</v>
      </c>
      <c r="L42" s="34"/>
      <c r="M42" s="39"/>
    </row>
    <row r="43" spans="1:13" x14ac:dyDescent="0.15">
      <c r="A43" s="15">
        <v>4</v>
      </c>
      <c r="B43" s="15">
        <v>0</v>
      </c>
      <c r="C43" s="16">
        <v>0</v>
      </c>
      <c r="D43" s="17">
        <f t="shared" si="11"/>
        <v>-4</v>
      </c>
      <c r="E43" s="17">
        <f t="shared" si="12"/>
        <v>0</v>
      </c>
      <c r="F43" s="6">
        <v>1.4E-2</v>
      </c>
      <c r="H43" s="19">
        <f t="shared" si="10"/>
        <v>4</v>
      </c>
      <c r="I43" s="8">
        <f t="shared" si="13"/>
        <v>0.04</v>
      </c>
      <c r="J43" s="34"/>
      <c r="K43" s="8">
        <f t="shared" si="14"/>
        <v>0</v>
      </c>
      <c r="L43" s="34"/>
      <c r="M43" s="39"/>
    </row>
    <row r="44" spans="1:13" x14ac:dyDescent="0.15">
      <c r="A44" s="15">
        <v>5</v>
      </c>
      <c r="B44" s="15">
        <v>0</v>
      </c>
      <c r="C44" s="16">
        <v>0</v>
      </c>
      <c r="D44" s="17">
        <f t="shared" si="11"/>
        <v>-5</v>
      </c>
      <c r="E44" s="17">
        <f t="shared" si="12"/>
        <v>0</v>
      </c>
      <c r="F44" s="6">
        <v>1.4E-2</v>
      </c>
      <c r="H44" s="19">
        <f t="shared" si="10"/>
        <v>5</v>
      </c>
      <c r="I44" s="8">
        <f t="shared" si="13"/>
        <v>0.05</v>
      </c>
      <c r="J44" s="34"/>
      <c r="K44" s="8">
        <f t="shared" si="14"/>
        <v>0</v>
      </c>
      <c r="L44" s="34"/>
      <c r="M44" s="39"/>
    </row>
    <row r="45" spans="1:13" x14ac:dyDescent="0.15">
      <c r="A45" s="15">
        <v>6</v>
      </c>
      <c r="B45" s="15">
        <v>0</v>
      </c>
      <c r="C45" s="16">
        <v>0</v>
      </c>
      <c r="D45" s="17">
        <f t="shared" si="11"/>
        <v>-6</v>
      </c>
      <c r="E45" s="17">
        <f t="shared" si="12"/>
        <v>0</v>
      </c>
      <c r="F45" s="6">
        <v>1.4E-2</v>
      </c>
      <c r="H45" s="19">
        <f t="shared" si="10"/>
        <v>6</v>
      </c>
      <c r="I45" s="8">
        <f t="shared" si="13"/>
        <v>0.06</v>
      </c>
      <c r="J45" s="34"/>
      <c r="K45" s="8">
        <f t="shared" si="14"/>
        <v>0</v>
      </c>
      <c r="L45" s="34"/>
      <c r="M45" s="39"/>
    </row>
    <row r="46" spans="1:13" x14ac:dyDescent="0.15">
      <c r="A46" s="15">
        <v>7</v>
      </c>
      <c r="B46" s="15">
        <v>0</v>
      </c>
      <c r="C46" s="16">
        <v>0</v>
      </c>
      <c r="D46" s="17">
        <f t="shared" si="11"/>
        <v>-7</v>
      </c>
      <c r="E46" s="17">
        <f t="shared" si="12"/>
        <v>0</v>
      </c>
      <c r="F46" s="6">
        <v>1.4E-2</v>
      </c>
      <c r="H46" s="19">
        <f t="shared" si="10"/>
        <v>7</v>
      </c>
      <c r="I46" s="8">
        <f t="shared" si="13"/>
        <v>7.0000000000000007E-2</v>
      </c>
      <c r="J46" s="34"/>
      <c r="K46" s="8">
        <f t="shared" si="14"/>
        <v>0</v>
      </c>
      <c r="L46" s="34"/>
      <c r="M46" s="39"/>
    </row>
    <row r="47" spans="1:13" x14ac:dyDescent="0.15">
      <c r="A47" s="15">
        <v>8</v>
      </c>
      <c r="B47" s="15">
        <v>0</v>
      </c>
      <c r="C47" s="16">
        <v>0</v>
      </c>
      <c r="D47" s="17">
        <f t="shared" si="11"/>
        <v>-8</v>
      </c>
      <c r="E47" s="17">
        <f t="shared" si="12"/>
        <v>0</v>
      </c>
      <c r="F47" s="6">
        <v>1.4E-2</v>
      </c>
      <c r="H47" s="19">
        <f t="shared" si="10"/>
        <v>8</v>
      </c>
      <c r="I47" s="8">
        <f t="shared" si="13"/>
        <v>0.08</v>
      </c>
      <c r="J47" s="34"/>
      <c r="K47" s="8">
        <f t="shared" si="14"/>
        <v>0</v>
      </c>
      <c r="L47" s="34"/>
      <c r="M47" s="39"/>
    </row>
    <row r="48" spans="1:13" x14ac:dyDescent="0.15">
      <c r="A48" s="15">
        <v>9</v>
      </c>
      <c r="B48" s="15">
        <v>0</v>
      </c>
      <c r="C48" s="16">
        <v>0</v>
      </c>
      <c r="D48" s="17">
        <f t="shared" si="11"/>
        <v>-9</v>
      </c>
      <c r="E48" s="17">
        <f t="shared" si="12"/>
        <v>0</v>
      </c>
      <c r="F48" s="6">
        <v>1.4E-2</v>
      </c>
      <c r="H48" s="19">
        <f t="shared" si="10"/>
        <v>9</v>
      </c>
      <c r="I48" s="8">
        <f t="shared" si="13"/>
        <v>0.09</v>
      </c>
      <c r="J48" s="34"/>
      <c r="K48" s="8">
        <f t="shared" si="14"/>
        <v>0</v>
      </c>
      <c r="L48" s="34"/>
      <c r="M48" s="39"/>
    </row>
    <row r="49" spans="1:13" x14ac:dyDescent="0.15">
      <c r="A49" s="15">
        <v>10</v>
      </c>
      <c r="B49" s="15">
        <v>0</v>
      </c>
      <c r="C49" s="16">
        <v>0</v>
      </c>
      <c r="D49" s="17">
        <f t="shared" si="11"/>
        <v>-10</v>
      </c>
      <c r="E49" s="17">
        <f t="shared" si="12"/>
        <v>0</v>
      </c>
      <c r="F49" s="6">
        <v>1.4E-2</v>
      </c>
      <c r="H49" s="19">
        <f t="shared" si="10"/>
        <v>10</v>
      </c>
      <c r="I49" s="8">
        <f t="shared" si="13"/>
        <v>0.1</v>
      </c>
      <c r="J49" s="34"/>
      <c r="K49" s="8">
        <f t="shared" si="14"/>
        <v>0</v>
      </c>
      <c r="L49" s="34"/>
      <c r="M49" s="39"/>
    </row>
    <row r="50" spans="1:13" x14ac:dyDescent="0.15">
      <c r="A50" s="15">
        <v>11</v>
      </c>
      <c r="B50" s="15">
        <v>0</v>
      </c>
      <c r="C50" s="16">
        <v>0</v>
      </c>
      <c r="D50" s="17">
        <f t="shared" si="11"/>
        <v>-11</v>
      </c>
      <c r="E50" s="17">
        <f t="shared" si="12"/>
        <v>0</v>
      </c>
      <c r="F50" s="6">
        <v>1.4E-2</v>
      </c>
      <c r="H50" s="19">
        <f t="shared" si="10"/>
        <v>11</v>
      </c>
      <c r="I50" s="8">
        <f t="shared" si="13"/>
        <v>0.11</v>
      </c>
      <c r="J50" s="34"/>
      <c r="K50" s="8">
        <f t="shared" si="14"/>
        <v>0</v>
      </c>
      <c r="L50" s="34"/>
      <c r="M50" s="39"/>
    </row>
    <row r="51" spans="1:13" x14ac:dyDescent="0.15">
      <c r="A51" s="21" t="s">
        <v>33</v>
      </c>
      <c r="B51" s="7" t="s">
        <v>4</v>
      </c>
      <c r="C51" s="12"/>
      <c r="D51" s="12" t="s">
        <v>22</v>
      </c>
      <c r="E51" s="25" t="str">
        <f>$M$5</f>
        <v>psi</v>
      </c>
      <c r="F51" s="20"/>
      <c r="H51" s="21" t="s">
        <v>33</v>
      </c>
      <c r="I51" s="7" t="str">
        <f>B51</f>
        <v>CH4</v>
      </c>
      <c r="J51" s="4"/>
      <c r="K51" s="26"/>
      <c r="L51" s="7"/>
      <c r="M51" s="7"/>
    </row>
    <row r="52" spans="1:13" ht="15" customHeight="1" x14ac:dyDescent="0.15">
      <c r="A52" s="28" t="s">
        <v>26</v>
      </c>
      <c r="B52" s="28" t="s">
        <v>31</v>
      </c>
      <c r="C52" s="28"/>
      <c r="D52" s="29" t="s">
        <v>35</v>
      </c>
      <c r="E52" s="29" t="s">
        <v>36</v>
      </c>
      <c r="F52" s="28" t="s">
        <v>32</v>
      </c>
      <c r="H52" s="23" t="s">
        <v>26</v>
      </c>
      <c r="I52" s="35" t="s">
        <v>39</v>
      </c>
      <c r="J52" s="28" t="s">
        <v>17</v>
      </c>
      <c r="K52" s="38" t="s">
        <v>40</v>
      </c>
      <c r="L52" s="28" t="s">
        <v>17</v>
      </c>
      <c r="M52" s="28" t="s">
        <v>41</v>
      </c>
    </row>
    <row r="53" spans="1:13" x14ac:dyDescent="0.15">
      <c r="A53" s="28"/>
      <c r="B53" s="22" t="s">
        <v>30</v>
      </c>
      <c r="C53" s="22" t="s">
        <v>34</v>
      </c>
      <c r="D53" s="30"/>
      <c r="E53" s="30"/>
      <c r="F53" s="28"/>
      <c r="H53" s="24" t="str">
        <f>"（"&amp;$M$5&amp;"）"</f>
        <v>（psi）</v>
      </c>
      <c r="I53" s="36"/>
      <c r="J53" s="28"/>
      <c r="K53" s="28"/>
      <c r="L53" s="28"/>
      <c r="M53" s="28"/>
    </row>
    <row r="54" spans="1:13" x14ac:dyDescent="0.15">
      <c r="A54" s="15">
        <v>1</v>
      </c>
      <c r="B54" s="15">
        <v>0</v>
      </c>
      <c r="C54" s="16">
        <v>0</v>
      </c>
      <c r="D54" s="17">
        <f>IF(ABS(B54-A54)&gt;ABS(C54-A54),B54-A54,C54-A54)</f>
        <v>-1</v>
      </c>
      <c r="E54" s="17">
        <f>ABS(B54-C54)</f>
        <v>0</v>
      </c>
      <c r="F54" s="6">
        <v>1.4E-2</v>
      </c>
      <c r="H54" s="18">
        <f t="shared" ref="H54:H64" si="15">A54</f>
        <v>1</v>
      </c>
      <c r="I54" s="8">
        <f>ABS(D54)/($M$6-$K$6)</f>
        <v>0.01</v>
      </c>
      <c r="J54" s="34">
        <f>MAX(I54:I64)</f>
        <v>0.11</v>
      </c>
      <c r="K54" s="8">
        <f>ABS(E54)/($M$6-$K$6)</f>
        <v>0</v>
      </c>
      <c r="L54" s="34">
        <f>MAX(K54:K64)</f>
        <v>0</v>
      </c>
      <c r="M54" s="39"/>
    </row>
    <row r="55" spans="1:13" x14ac:dyDescent="0.15">
      <c r="A55" s="15">
        <v>2</v>
      </c>
      <c r="B55" s="15">
        <v>0</v>
      </c>
      <c r="C55" s="16">
        <v>0</v>
      </c>
      <c r="D55" s="17">
        <f t="shared" ref="D55:D64" si="16">IF(ABS(B55-A55)&gt;ABS(C55-A55),B55-A55,C55-A55)</f>
        <v>-2</v>
      </c>
      <c r="E55" s="17">
        <f t="shared" ref="E55:E64" si="17">ABS(B55-C55)</f>
        <v>0</v>
      </c>
      <c r="F55" s="6">
        <v>1.4E-2</v>
      </c>
      <c r="H55" s="19">
        <f t="shared" si="15"/>
        <v>2</v>
      </c>
      <c r="I55" s="8">
        <f t="shared" ref="I55:I64" si="18">ABS(D55)/($M$6-$K$6)</f>
        <v>0.02</v>
      </c>
      <c r="J55" s="34"/>
      <c r="K55" s="8">
        <f t="shared" ref="K55:K64" si="19">ABS(E55)/($M$6-$K$6)</f>
        <v>0</v>
      </c>
      <c r="L55" s="34"/>
      <c r="M55" s="39"/>
    </row>
    <row r="56" spans="1:13" x14ac:dyDescent="0.15">
      <c r="A56" s="15">
        <v>3</v>
      </c>
      <c r="B56" s="15">
        <v>0</v>
      </c>
      <c r="C56" s="16">
        <v>0</v>
      </c>
      <c r="D56" s="17">
        <f t="shared" si="16"/>
        <v>-3</v>
      </c>
      <c r="E56" s="17">
        <f t="shared" si="17"/>
        <v>0</v>
      </c>
      <c r="F56" s="6">
        <v>1.4E-2</v>
      </c>
      <c r="H56" s="19">
        <f t="shared" si="15"/>
        <v>3</v>
      </c>
      <c r="I56" s="8">
        <f t="shared" si="18"/>
        <v>0.03</v>
      </c>
      <c r="J56" s="34"/>
      <c r="K56" s="8">
        <f t="shared" si="19"/>
        <v>0</v>
      </c>
      <c r="L56" s="34"/>
      <c r="M56" s="39"/>
    </row>
    <row r="57" spans="1:13" x14ac:dyDescent="0.15">
      <c r="A57" s="15">
        <v>4</v>
      </c>
      <c r="B57" s="15">
        <v>0</v>
      </c>
      <c r="C57" s="16">
        <v>0</v>
      </c>
      <c r="D57" s="17">
        <f t="shared" si="16"/>
        <v>-4</v>
      </c>
      <c r="E57" s="17">
        <f t="shared" si="17"/>
        <v>0</v>
      </c>
      <c r="F57" s="6">
        <v>1.4E-2</v>
      </c>
      <c r="H57" s="19">
        <f t="shared" si="15"/>
        <v>4</v>
      </c>
      <c r="I57" s="8">
        <f t="shared" si="18"/>
        <v>0.04</v>
      </c>
      <c r="J57" s="34"/>
      <c r="K57" s="8">
        <f t="shared" si="19"/>
        <v>0</v>
      </c>
      <c r="L57" s="34"/>
      <c r="M57" s="39"/>
    </row>
    <row r="58" spans="1:13" x14ac:dyDescent="0.15">
      <c r="A58" s="15">
        <v>5</v>
      </c>
      <c r="B58" s="15">
        <v>0</v>
      </c>
      <c r="C58" s="16">
        <v>0</v>
      </c>
      <c r="D58" s="17">
        <f t="shared" si="16"/>
        <v>-5</v>
      </c>
      <c r="E58" s="17">
        <f t="shared" si="17"/>
        <v>0</v>
      </c>
      <c r="F58" s="6">
        <v>1.4E-2</v>
      </c>
      <c r="H58" s="19">
        <f t="shared" si="15"/>
        <v>5</v>
      </c>
      <c r="I58" s="8">
        <f t="shared" si="18"/>
        <v>0.05</v>
      </c>
      <c r="J58" s="34"/>
      <c r="K58" s="8">
        <f t="shared" si="19"/>
        <v>0</v>
      </c>
      <c r="L58" s="34"/>
      <c r="M58" s="39"/>
    </row>
    <row r="59" spans="1:13" x14ac:dyDescent="0.15">
      <c r="A59" s="15">
        <v>6</v>
      </c>
      <c r="B59" s="15">
        <v>0</v>
      </c>
      <c r="C59" s="16">
        <v>0</v>
      </c>
      <c r="D59" s="17">
        <f t="shared" si="16"/>
        <v>-6</v>
      </c>
      <c r="E59" s="17">
        <f t="shared" si="17"/>
        <v>0</v>
      </c>
      <c r="F59" s="6">
        <v>1.4E-2</v>
      </c>
      <c r="H59" s="19">
        <f t="shared" si="15"/>
        <v>6</v>
      </c>
      <c r="I59" s="8">
        <f t="shared" si="18"/>
        <v>0.06</v>
      </c>
      <c r="J59" s="34"/>
      <c r="K59" s="8">
        <f t="shared" si="19"/>
        <v>0</v>
      </c>
      <c r="L59" s="34"/>
      <c r="M59" s="39"/>
    </row>
    <row r="60" spans="1:13" x14ac:dyDescent="0.15">
      <c r="A60" s="15">
        <v>7</v>
      </c>
      <c r="B60" s="15">
        <v>0</v>
      </c>
      <c r="C60" s="16">
        <v>0</v>
      </c>
      <c r="D60" s="17">
        <f t="shared" si="16"/>
        <v>-7</v>
      </c>
      <c r="E60" s="17">
        <f t="shared" si="17"/>
        <v>0</v>
      </c>
      <c r="F60" s="6">
        <v>1.4E-2</v>
      </c>
      <c r="H60" s="19">
        <f t="shared" si="15"/>
        <v>7</v>
      </c>
      <c r="I60" s="8">
        <f t="shared" si="18"/>
        <v>7.0000000000000007E-2</v>
      </c>
      <c r="J60" s="34"/>
      <c r="K60" s="8">
        <f t="shared" si="19"/>
        <v>0</v>
      </c>
      <c r="L60" s="34"/>
      <c r="M60" s="39"/>
    </row>
    <row r="61" spans="1:13" x14ac:dyDescent="0.15">
      <c r="A61" s="15">
        <v>8</v>
      </c>
      <c r="B61" s="15">
        <v>0</v>
      </c>
      <c r="C61" s="16">
        <v>0</v>
      </c>
      <c r="D61" s="17">
        <f t="shared" si="16"/>
        <v>-8</v>
      </c>
      <c r="E61" s="17">
        <f t="shared" si="17"/>
        <v>0</v>
      </c>
      <c r="F61" s="6">
        <v>1.4E-2</v>
      </c>
      <c r="H61" s="19">
        <f t="shared" si="15"/>
        <v>8</v>
      </c>
      <c r="I61" s="8">
        <f t="shared" si="18"/>
        <v>0.08</v>
      </c>
      <c r="J61" s="34"/>
      <c r="K61" s="8">
        <f t="shared" si="19"/>
        <v>0</v>
      </c>
      <c r="L61" s="34"/>
      <c r="M61" s="39"/>
    </row>
    <row r="62" spans="1:13" x14ac:dyDescent="0.15">
      <c r="A62" s="15">
        <v>9</v>
      </c>
      <c r="B62" s="15">
        <v>0</v>
      </c>
      <c r="C62" s="16">
        <v>0</v>
      </c>
      <c r="D62" s="17">
        <f t="shared" si="16"/>
        <v>-9</v>
      </c>
      <c r="E62" s="17">
        <f t="shared" si="17"/>
        <v>0</v>
      </c>
      <c r="F62" s="6">
        <v>1.4E-2</v>
      </c>
      <c r="H62" s="19">
        <f t="shared" si="15"/>
        <v>9</v>
      </c>
      <c r="I62" s="8">
        <f t="shared" si="18"/>
        <v>0.09</v>
      </c>
      <c r="J62" s="34"/>
      <c r="K62" s="8">
        <f t="shared" si="19"/>
        <v>0</v>
      </c>
      <c r="L62" s="34"/>
      <c r="M62" s="39"/>
    </row>
    <row r="63" spans="1:13" x14ac:dyDescent="0.15">
      <c r="A63" s="15">
        <v>10</v>
      </c>
      <c r="B63" s="15">
        <v>0</v>
      </c>
      <c r="C63" s="16">
        <v>0</v>
      </c>
      <c r="D63" s="17">
        <f t="shared" si="16"/>
        <v>-10</v>
      </c>
      <c r="E63" s="17">
        <f t="shared" si="17"/>
        <v>0</v>
      </c>
      <c r="F63" s="6">
        <v>1.4E-2</v>
      </c>
      <c r="H63" s="19">
        <f t="shared" si="15"/>
        <v>10</v>
      </c>
      <c r="I63" s="8">
        <f t="shared" si="18"/>
        <v>0.1</v>
      </c>
      <c r="J63" s="34"/>
      <c r="K63" s="8">
        <f t="shared" si="19"/>
        <v>0</v>
      </c>
      <c r="L63" s="34"/>
      <c r="M63" s="39"/>
    </row>
    <row r="64" spans="1:13" x14ac:dyDescent="0.15">
      <c r="A64" s="15">
        <v>11</v>
      </c>
      <c r="B64" s="15">
        <v>0</v>
      </c>
      <c r="C64" s="16">
        <v>0</v>
      </c>
      <c r="D64" s="17">
        <f t="shared" si="16"/>
        <v>-11</v>
      </c>
      <c r="E64" s="17">
        <f t="shared" si="17"/>
        <v>0</v>
      </c>
      <c r="F64" s="6">
        <v>1.4E-2</v>
      </c>
      <c r="H64" s="19">
        <f t="shared" si="15"/>
        <v>11</v>
      </c>
      <c r="I64" s="8">
        <f t="shared" si="18"/>
        <v>0.11</v>
      </c>
      <c r="J64" s="34"/>
      <c r="K64" s="8">
        <f t="shared" si="19"/>
        <v>0</v>
      </c>
      <c r="L64" s="34"/>
      <c r="M64" s="39"/>
    </row>
    <row r="66" spans="1:13" ht="15" customHeight="1" x14ac:dyDescent="0.15">
      <c r="A66" s="21" t="s">
        <v>33</v>
      </c>
      <c r="B66" s="7" t="s">
        <v>5</v>
      </c>
      <c r="C66" s="12"/>
      <c r="D66" s="12" t="s">
        <v>22</v>
      </c>
      <c r="E66" s="25" t="str">
        <f>$M$5</f>
        <v>psi</v>
      </c>
      <c r="F66" s="20"/>
      <c r="H66" s="21" t="s">
        <v>33</v>
      </c>
      <c r="I66" s="7" t="str">
        <f>B66</f>
        <v>CH5</v>
      </c>
      <c r="J66" s="4"/>
      <c r="K66" s="26"/>
      <c r="L66" s="7"/>
      <c r="M66" s="7"/>
    </row>
    <row r="67" spans="1:13" ht="15" customHeight="1" x14ac:dyDescent="0.15">
      <c r="A67" s="28" t="s">
        <v>26</v>
      </c>
      <c r="B67" s="28" t="s">
        <v>31</v>
      </c>
      <c r="C67" s="28"/>
      <c r="D67" s="29" t="s">
        <v>35</v>
      </c>
      <c r="E67" s="29" t="s">
        <v>36</v>
      </c>
      <c r="F67" s="28" t="s">
        <v>32</v>
      </c>
      <c r="H67" s="23" t="s">
        <v>26</v>
      </c>
      <c r="I67" s="35" t="s">
        <v>39</v>
      </c>
      <c r="J67" s="28" t="s">
        <v>17</v>
      </c>
      <c r="K67" s="38" t="s">
        <v>40</v>
      </c>
      <c r="L67" s="28" t="s">
        <v>17</v>
      </c>
      <c r="M67" s="28" t="s">
        <v>41</v>
      </c>
    </row>
    <row r="68" spans="1:13" x14ac:dyDescent="0.15">
      <c r="A68" s="28"/>
      <c r="B68" s="22" t="s">
        <v>30</v>
      </c>
      <c r="C68" s="22" t="s">
        <v>34</v>
      </c>
      <c r="D68" s="30"/>
      <c r="E68" s="30"/>
      <c r="F68" s="28"/>
      <c r="H68" s="24" t="str">
        <f>"（"&amp;$M$5&amp;"）"</f>
        <v>（psi）</v>
      </c>
      <c r="I68" s="36"/>
      <c r="J68" s="28"/>
      <c r="K68" s="28"/>
      <c r="L68" s="28"/>
      <c r="M68" s="28"/>
    </row>
    <row r="69" spans="1:13" x14ac:dyDescent="0.15">
      <c r="A69" s="15">
        <v>1</v>
      </c>
      <c r="B69" s="15">
        <v>0</v>
      </c>
      <c r="C69" s="16">
        <v>0</v>
      </c>
      <c r="D69" s="17">
        <f>IF(ABS(B69-A69)&gt;ABS(C69-A69),B69-A69,C69-A69)</f>
        <v>-1</v>
      </c>
      <c r="E69" s="17">
        <f>ABS(B69-C69)</f>
        <v>0</v>
      </c>
      <c r="F69" s="6">
        <v>1.4E-2</v>
      </c>
      <c r="H69" s="18">
        <f t="shared" ref="H69:H79" si="20">A69</f>
        <v>1</v>
      </c>
      <c r="I69" s="8">
        <f>ABS(D69)/($M$6-$K$6)</f>
        <v>0.01</v>
      </c>
      <c r="J69" s="34">
        <f>MAX(I69:I79)</f>
        <v>0.11</v>
      </c>
      <c r="K69" s="8">
        <f>ABS(E69)/($M$6-$K$6)</f>
        <v>0</v>
      </c>
      <c r="L69" s="34">
        <f>MAX(K69:K79)</f>
        <v>0</v>
      </c>
      <c r="M69" s="39"/>
    </row>
    <row r="70" spans="1:13" x14ac:dyDescent="0.15">
      <c r="A70" s="15">
        <v>2</v>
      </c>
      <c r="B70" s="15">
        <v>0</v>
      </c>
      <c r="C70" s="16">
        <v>0</v>
      </c>
      <c r="D70" s="17">
        <f t="shared" ref="D70:D79" si="21">IF(ABS(B70-A70)&gt;ABS(C70-A70),B70-A70,C70-A70)</f>
        <v>-2</v>
      </c>
      <c r="E70" s="17">
        <f t="shared" ref="E70:E79" si="22">ABS(B70-C70)</f>
        <v>0</v>
      </c>
      <c r="F70" s="6">
        <v>1.4E-2</v>
      </c>
      <c r="H70" s="19">
        <f t="shared" si="20"/>
        <v>2</v>
      </c>
      <c r="I70" s="8">
        <f t="shared" ref="I70:I79" si="23">ABS(D70)/($M$6-$K$6)</f>
        <v>0.02</v>
      </c>
      <c r="J70" s="34"/>
      <c r="K70" s="8">
        <f t="shared" ref="K70:K79" si="24">ABS(E70)/($M$6-$K$6)</f>
        <v>0</v>
      </c>
      <c r="L70" s="34"/>
      <c r="M70" s="39"/>
    </row>
    <row r="71" spans="1:13" x14ac:dyDescent="0.15">
      <c r="A71" s="15">
        <v>3</v>
      </c>
      <c r="B71" s="15">
        <v>0</v>
      </c>
      <c r="C71" s="16">
        <v>0</v>
      </c>
      <c r="D71" s="17">
        <f t="shared" si="21"/>
        <v>-3</v>
      </c>
      <c r="E71" s="17">
        <f t="shared" si="22"/>
        <v>0</v>
      </c>
      <c r="F71" s="6">
        <v>1.4E-2</v>
      </c>
      <c r="H71" s="19">
        <f t="shared" si="20"/>
        <v>3</v>
      </c>
      <c r="I71" s="8">
        <f t="shared" si="23"/>
        <v>0.03</v>
      </c>
      <c r="J71" s="34"/>
      <c r="K71" s="8">
        <f t="shared" si="24"/>
        <v>0</v>
      </c>
      <c r="L71" s="34"/>
      <c r="M71" s="39"/>
    </row>
    <row r="72" spans="1:13" x14ac:dyDescent="0.15">
      <c r="A72" s="15">
        <v>4</v>
      </c>
      <c r="B72" s="15">
        <v>0</v>
      </c>
      <c r="C72" s="16">
        <v>0</v>
      </c>
      <c r="D72" s="17">
        <f t="shared" si="21"/>
        <v>-4</v>
      </c>
      <c r="E72" s="17">
        <f t="shared" si="22"/>
        <v>0</v>
      </c>
      <c r="F72" s="6">
        <v>1.4E-2</v>
      </c>
      <c r="H72" s="19">
        <f t="shared" si="20"/>
        <v>4</v>
      </c>
      <c r="I72" s="8">
        <f t="shared" si="23"/>
        <v>0.04</v>
      </c>
      <c r="J72" s="34"/>
      <c r="K72" s="8">
        <f t="shared" si="24"/>
        <v>0</v>
      </c>
      <c r="L72" s="34"/>
      <c r="M72" s="39"/>
    </row>
    <row r="73" spans="1:13" x14ac:dyDescent="0.15">
      <c r="A73" s="15">
        <v>5</v>
      </c>
      <c r="B73" s="15">
        <v>0</v>
      </c>
      <c r="C73" s="16">
        <v>0</v>
      </c>
      <c r="D73" s="17">
        <f t="shared" si="21"/>
        <v>-5</v>
      </c>
      <c r="E73" s="17">
        <f t="shared" si="22"/>
        <v>0</v>
      </c>
      <c r="F73" s="6">
        <v>1.4E-2</v>
      </c>
      <c r="H73" s="19">
        <f t="shared" si="20"/>
        <v>5</v>
      </c>
      <c r="I73" s="8">
        <f t="shared" si="23"/>
        <v>0.05</v>
      </c>
      <c r="J73" s="34"/>
      <c r="K73" s="8">
        <f t="shared" si="24"/>
        <v>0</v>
      </c>
      <c r="L73" s="34"/>
      <c r="M73" s="39"/>
    </row>
    <row r="74" spans="1:13" x14ac:dyDescent="0.15">
      <c r="A74" s="15">
        <v>6</v>
      </c>
      <c r="B74" s="15">
        <v>0</v>
      </c>
      <c r="C74" s="16">
        <v>0</v>
      </c>
      <c r="D74" s="17">
        <f t="shared" si="21"/>
        <v>-6</v>
      </c>
      <c r="E74" s="17">
        <f t="shared" si="22"/>
        <v>0</v>
      </c>
      <c r="F74" s="6">
        <v>1.4E-2</v>
      </c>
      <c r="H74" s="19">
        <f t="shared" si="20"/>
        <v>6</v>
      </c>
      <c r="I74" s="8">
        <f t="shared" si="23"/>
        <v>0.06</v>
      </c>
      <c r="J74" s="34"/>
      <c r="K74" s="8">
        <f t="shared" si="24"/>
        <v>0</v>
      </c>
      <c r="L74" s="34"/>
      <c r="M74" s="39"/>
    </row>
    <row r="75" spans="1:13" x14ac:dyDescent="0.15">
      <c r="A75" s="15">
        <v>7</v>
      </c>
      <c r="B75" s="15">
        <v>0</v>
      </c>
      <c r="C75" s="16">
        <v>0</v>
      </c>
      <c r="D75" s="17">
        <f t="shared" si="21"/>
        <v>-7</v>
      </c>
      <c r="E75" s="17">
        <f t="shared" si="22"/>
        <v>0</v>
      </c>
      <c r="F75" s="6">
        <v>1.4E-2</v>
      </c>
      <c r="H75" s="19">
        <f t="shared" si="20"/>
        <v>7</v>
      </c>
      <c r="I75" s="8">
        <f t="shared" si="23"/>
        <v>7.0000000000000007E-2</v>
      </c>
      <c r="J75" s="34"/>
      <c r="K75" s="8">
        <f t="shared" si="24"/>
        <v>0</v>
      </c>
      <c r="L75" s="34"/>
      <c r="M75" s="39"/>
    </row>
    <row r="76" spans="1:13" x14ac:dyDescent="0.15">
      <c r="A76" s="15">
        <v>8</v>
      </c>
      <c r="B76" s="15">
        <v>0</v>
      </c>
      <c r="C76" s="16">
        <v>0</v>
      </c>
      <c r="D76" s="17">
        <f t="shared" si="21"/>
        <v>-8</v>
      </c>
      <c r="E76" s="17">
        <f t="shared" si="22"/>
        <v>0</v>
      </c>
      <c r="F76" s="6">
        <v>1.4E-2</v>
      </c>
      <c r="H76" s="19">
        <f t="shared" si="20"/>
        <v>8</v>
      </c>
      <c r="I76" s="8">
        <f t="shared" si="23"/>
        <v>0.08</v>
      </c>
      <c r="J76" s="34"/>
      <c r="K76" s="8">
        <f t="shared" si="24"/>
        <v>0</v>
      </c>
      <c r="L76" s="34"/>
      <c r="M76" s="39"/>
    </row>
    <row r="77" spans="1:13" x14ac:dyDescent="0.15">
      <c r="A77" s="15">
        <v>9</v>
      </c>
      <c r="B77" s="15">
        <v>0</v>
      </c>
      <c r="C77" s="16">
        <v>0</v>
      </c>
      <c r="D77" s="17">
        <f t="shared" si="21"/>
        <v>-9</v>
      </c>
      <c r="E77" s="17">
        <f t="shared" si="22"/>
        <v>0</v>
      </c>
      <c r="F77" s="6">
        <v>1.4E-2</v>
      </c>
      <c r="H77" s="19">
        <f t="shared" si="20"/>
        <v>9</v>
      </c>
      <c r="I77" s="8">
        <f t="shared" si="23"/>
        <v>0.09</v>
      </c>
      <c r="J77" s="34"/>
      <c r="K77" s="8">
        <f t="shared" si="24"/>
        <v>0</v>
      </c>
      <c r="L77" s="34"/>
      <c r="M77" s="39"/>
    </row>
    <row r="78" spans="1:13" x14ac:dyDescent="0.15">
      <c r="A78" s="15">
        <v>10</v>
      </c>
      <c r="B78" s="15">
        <v>0</v>
      </c>
      <c r="C78" s="16">
        <v>0</v>
      </c>
      <c r="D78" s="17">
        <f t="shared" si="21"/>
        <v>-10</v>
      </c>
      <c r="E78" s="17">
        <f t="shared" si="22"/>
        <v>0</v>
      </c>
      <c r="F78" s="6">
        <v>1.4E-2</v>
      </c>
      <c r="H78" s="19">
        <f t="shared" si="20"/>
        <v>10</v>
      </c>
      <c r="I78" s="8">
        <f t="shared" si="23"/>
        <v>0.1</v>
      </c>
      <c r="J78" s="34"/>
      <c r="K78" s="8">
        <f t="shared" si="24"/>
        <v>0</v>
      </c>
      <c r="L78" s="34"/>
      <c r="M78" s="39"/>
    </row>
    <row r="79" spans="1:13" x14ac:dyDescent="0.15">
      <c r="A79" s="15">
        <v>11</v>
      </c>
      <c r="B79" s="15">
        <v>0</v>
      </c>
      <c r="C79" s="16">
        <v>0</v>
      </c>
      <c r="D79" s="17">
        <f t="shared" si="21"/>
        <v>-11</v>
      </c>
      <c r="E79" s="17">
        <f t="shared" si="22"/>
        <v>0</v>
      </c>
      <c r="F79" s="6">
        <v>1.4E-2</v>
      </c>
      <c r="H79" s="19">
        <f t="shared" si="20"/>
        <v>11</v>
      </c>
      <c r="I79" s="8">
        <f t="shared" si="23"/>
        <v>0.11</v>
      </c>
      <c r="J79" s="34"/>
      <c r="K79" s="8">
        <f t="shared" si="24"/>
        <v>0</v>
      </c>
      <c r="L79" s="34"/>
      <c r="M79" s="39"/>
    </row>
    <row r="81" spans="1:13" ht="15" customHeight="1" x14ac:dyDescent="0.15">
      <c r="A81" s="21" t="s">
        <v>33</v>
      </c>
      <c r="B81" s="7" t="s">
        <v>6</v>
      </c>
      <c r="C81" s="12"/>
      <c r="D81" s="12" t="s">
        <v>22</v>
      </c>
      <c r="E81" s="25" t="str">
        <f>$M$5</f>
        <v>psi</v>
      </c>
      <c r="F81" s="20"/>
      <c r="H81" s="21" t="s">
        <v>33</v>
      </c>
      <c r="I81" s="7" t="str">
        <f>B81</f>
        <v>CH6</v>
      </c>
      <c r="J81" s="4"/>
      <c r="K81" s="26"/>
      <c r="L81" s="7"/>
      <c r="M81" s="7"/>
    </row>
    <row r="82" spans="1:13" ht="15" customHeight="1" x14ac:dyDescent="0.15">
      <c r="A82" s="28" t="s">
        <v>26</v>
      </c>
      <c r="B82" s="28" t="s">
        <v>31</v>
      </c>
      <c r="C82" s="28"/>
      <c r="D82" s="29" t="s">
        <v>35</v>
      </c>
      <c r="E82" s="29" t="s">
        <v>36</v>
      </c>
      <c r="F82" s="28" t="s">
        <v>32</v>
      </c>
      <c r="H82" s="23" t="s">
        <v>26</v>
      </c>
      <c r="I82" s="35" t="s">
        <v>39</v>
      </c>
      <c r="J82" s="28" t="s">
        <v>17</v>
      </c>
      <c r="K82" s="38" t="s">
        <v>40</v>
      </c>
      <c r="L82" s="28" t="s">
        <v>17</v>
      </c>
      <c r="M82" s="28" t="s">
        <v>41</v>
      </c>
    </row>
    <row r="83" spans="1:13" x14ac:dyDescent="0.15">
      <c r="A83" s="28"/>
      <c r="B83" s="22" t="s">
        <v>30</v>
      </c>
      <c r="C83" s="22" t="s">
        <v>34</v>
      </c>
      <c r="D83" s="30"/>
      <c r="E83" s="30"/>
      <c r="F83" s="28"/>
      <c r="H83" s="24" t="str">
        <f>"（"&amp;$M$5&amp;"）"</f>
        <v>（psi）</v>
      </c>
      <c r="I83" s="36"/>
      <c r="J83" s="28"/>
      <c r="K83" s="28"/>
      <c r="L83" s="28"/>
      <c r="M83" s="28"/>
    </row>
    <row r="84" spans="1:13" x14ac:dyDescent="0.15">
      <c r="A84" s="15">
        <v>1</v>
      </c>
      <c r="B84" s="15">
        <v>0</v>
      </c>
      <c r="C84" s="16">
        <v>0</v>
      </c>
      <c r="D84" s="17">
        <f>IF(ABS(B84-A84)&gt;ABS(C84-A84),B84-A84,C84-A84)</f>
        <v>-1</v>
      </c>
      <c r="E84" s="17">
        <f>ABS(B84-C84)</f>
        <v>0</v>
      </c>
      <c r="F84" s="6">
        <v>1.4E-2</v>
      </c>
      <c r="H84" s="18">
        <f t="shared" ref="H84:H94" si="25">A84</f>
        <v>1</v>
      </c>
      <c r="I84" s="8">
        <f>ABS(D84)/($M$6-$K$6)</f>
        <v>0.01</v>
      </c>
      <c r="J84" s="34">
        <f>MAX(I84:I94)</f>
        <v>0.11</v>
      </c>
      <c r="K84" s="8">
        <f>ABS(E84)/($M$6-$K$6)</f>
        <v>0</v>
      </c>
      <c r="L84" s="34">
        <f>MAX(K84:K94)</f>
        <v>0</v>
      </c>
      <c r="M84" s="39"/>
    </row>
    <row r="85" spans="1:13" x14ac:dyDescent="0.15">
      <c r="A85" s="15">
        <v>2</v>
      </c>
      <c r="B85" s="15">
        <v>0</v>
      </c>
      <c r="C85" s="16">
        <v>0</v>
      </c>
      <c r="D85" s="17">
        <f t="shared" ref="D85:D94" si="26">IF(ABS(B85-A85)&gt;ABS(C85-A85),B85-A85,C85-A85)</f>
        <v>-2</v>
      </c>
      <c r="E85" s="17">
        <f t="shared" ref="E85:E94" si="27">ABS(B85-C85)</f>
        <v>0</v>
      </c>
      <c r="F85" s="6">
        <v>1.4E-2</v>
      </c>
      <c r="H85" s="19">
        <f t="shared" si="25"/>
        <v>2</v>
      </c>
      <c r="I85" s="8">
        <f t="shared" ref="I85:I94" si="28">ABS(D85)/($M$6-$K$6)</f>
        <v>0.02</v>
      </c>
      <c r="J85" s="34"/>
      <c r="K85" s="8">
        <f t="shared" ref="K85:K94" si="29">ABS(E85)/($M$6-$K$6)</f>
        <v>0</v>
      </c>
      <c r="L85" s="34"/>
      <c r="M85" s="39"/>
    </row>
    <row r="86" spans="1:13" x14ac:dyDescent="0.15">
      <c r="A86" s="15">
        <v>3</v>
      </c>
      <c r="B86" s="15">
        <v>0</v>
      </c>
      <c r="C86" s="16">
        <v>0</v>
      </c>
      <c r="D86" s="17">
        <f t="shared" si="26"/>
        <v>-3</v>
      </c>
      <c r="E86" s="17">
        <f t="shared" si="27"/>
        <v>0</v>
      </c>
      <c r="F86" s="6">
        <v>1.4E-2</v>
      </c>
      <c r="H86" s="19">
        <f t="shared" si="25"/>
        <v>3</v>
      </c>
      <c r="I86" s="8">
        <f t="shared" si="28"/>
        <v>0.03</v>
      </c>
      <c r="J86" s="34"/>
      <c r="K86" s="8">
        <f t="shared" si="29"/>
        <v>0</v>
      </c>
      <c r="L86" s="34"/>
      <c r="M86" s="39"/>
    </row>
    <row r="87" spans="1:13" x14ac:dyDescent="0.15">
      <c r="A87" s="15">
        <v>4</v>
      </c>
      <c r="B87" s="15">
        <v>0</v>
      </c>
      <c r="C87" s="16">
        <v>0</v>
      </c>
      <c r="D87" s="17">
        <f t="shared" si="26"/>
        <v>-4</v>
      </c>
      <c r="E87" s="17">
        <f t="shared" si="27"/>
        <v>0</v>
      </c>
      <c r="F87" s="6">
        <v>1.4E-2</v>
      </c>
      <c r="H87" s="19">
        <f t="shared" si="25"/>
        <v>4</v>
      </c>
      <c r="I87" s="8">
        <f t="shared" si="28"/>
        <v>0.04</v>
      </c>
      <c r="J87" s="34"/>
      <c r="K87" s="8">
        <f t="shared" si="29"/>
        <v>0</v>
      </c>
      <c r="L87" s="34"/>
      <c r="M87" s="39"/>
    </row>
    <row r="88" spans="1:13" x14ac:dyDescent="0.15">
      <c r="A88" s="15">
        <v>5</v>
      </c>
      <c r="B88" s="15">
        <v>0</v>
      </c>
      <c r="C88" s="16">
        <v>0</v>
      </c>
      <c r="D88" s="17">
        <f t="shared" si="26"/>
        <v>-5</v>
      </c>
      <c r="E88" s="17">
        <f t="shared" si="27"/>
        <v>0</v>
      </c>
      <c r="F88" s="6">
        <v>1.4E-2</v>
      </c>
      <c r="H88" s="19">
        <f t="shared" si="25"/>
        <v>5</v>
      </c>
      <c r="I88" s="8">
        <f t="shared" si="28"/>
        <v>0.05</v>
      </c>
      <c r="J88" s="34"/>
      <c r="K88" s="8">
        <f t="shared" si="29"/>
        <v>0</v>
      </c>
      <c r="L88" s="34"/>
      <c r="M88" s="39"/>
    </row>
    <row r="89" spans="1:13" x14ac:dyDescent="0.15">
      <c r="A89" s="15">
        <v>6</v>
      </c>
      <c r="B89" s="15">
        <v>0</v>
      </c>
      <c r="C89" s="16">
        <v>0</v>
      </c>
      <c r="D89" s="17">
        <f t="shared" si="26"/>
        <v>-6</v>
      </c>
      <c r="E89" s="17">
        <f t="shared" si="27"/>
        <v>0</v>
      </c>
      <c r="F89" s="6">
        <v>1.4E-2</v>
      </c>
      <c r="H89" s="19">
        <f t="shared" si="25"/>
        <v>6</v>
      </c>
      <c r="I89" s="8">
        <f t="shared" si="28"/>
        <v>0.06</v>
      </c>
      <c r="J89" s="34"/>
      <c r="K89" s="8">
        <f t="shared" si="29"/>
        <v>0</v>
      </c>
      <c r="L89" s="34"/>
      <c r="M89" s="39"/>
    </row>
    <row r="90" spans="1:13" x14ac:dyDescent="0.15">
      <c r="A90" s="15">
        <v>7</v>
      </c>
      <c r="B90" s="15">
        <v>0</v>
      </c>
      <c r="C90" s="16">
        <v>0</v>
      </c>
      <c r="D90" s="17">
        <f t="shared" si="26"/>
        <v>-7</v>
      </c>
      <c r="E90" s="17">
        <f t="shared" si="27"/>
        <v>0</v>
      </c>
      <c r="F90" s="6">
        <v>1.4E-2</v>
      </c>
      <c r="H90" s="19">
        <f t="shared" si="25"/>
        <v>7</v>
      </c>
      <c r="I90" s="8">
        <f t="shared" si="28"/>
        <v>7.0000000000000007E-2</v>
      </c>
      <c r="J90" s="34"/>
      <c r="K90" s="8">
        <f t="shared" si="29"/>
        <v>0</v>
      </c>
      <c r="L90" s="34"/>
      <c r="M90" s="39"/>
    </row>
    <row r="91" spans="1:13" x14ac:dyDescent="0.15">
      <c r="A91" s="15">
        <v>8</v>
      </c>
      <c r="B91" s="15">
        <v>0</v>
      </c>
      <c r="C91" s="16">
        <v>0</v>
      </c>
      <c r="D91" s="17">
        <f t="shared" si="26"/>
        <v>-8</v>
      </c>
      <c r="E91" s="17">
        <f t="shared" si="27"/>
        <v>0</v>
      </c>
      <c r="F91" s="6">
        <v>1.4E-2</v>
      </c>
      <c r="H91" s="19">
        <f t="shared" si="25"/>
        <v>8</v>
      </c>
      <c r="I91" s="8">
        <f t="shared" si="28"/>
        <v>0.08</v>
      </c>
      <c r="J91" s="34"/>
      <c r="K91" s="8">
        <f t="shared" si="29"/>
        <v>0</v>
      </c>
      <c r="L91" s="34"/>
      <c r="M91" s="39"/>
    </row>
    <row r="92" spans="1:13" x14ac:dyDescent="0.15">
      <c r="A92" s="15">
        <v>9</v>
      </c>
      <c r="B92" s="15">
        <v>0</v>
      </c>
      <c r="C92" s="16">
        <v>0</v>
      </c>
      <c r="D92" s="17">
        <f t="shared" si="26"/>
        <v>-9</v>
      </c>
      <c r="E92" s="17">
        <f t="shared" si="27"/>
        <v>0</v>
      </c>
      <c r="F92" s="6">
        <v>1.4E-2</v>
      </c>
      <c r="H92" s="19">
        <f t="shared" si="25"/>
        <v>9</v>
      </c>
      <c r="I92" s="8">
        <f t="shared" si="28"/>
        <v>0.09</v>
      </c>
      <c r="J92" s="34"/>
      <c r="K92" s="8">
        <f t="shared" si="29"/>
        <v>0</v>
      </c>
      <c r="L92" s="34"/>
      <c r="M92" s="39"/>
    </row>
    <row r="93" spans="1:13" x14ac:dyDescent="0.15">
      <c r="A93" s="15">
        <v>10</v>
      </c>
      <c r="B93" s="15">
        <v>0</v>
      </c>
      <c r="C93" s="16">
        <v>0</v>
      </c>
      <c r="D93" s="17">
        <f t="shared" si="26"/>
        <v>-10</v>
      </c>
      <c r="E93" s="17">
        <f t="shared" si="27"/>
        <v>0</v>
      </c>
      <c r="F93" s="6">
        <v>1.4E-2</v>
      </c>
      <c r="H93" s="19">
        <f t="shared" si="25"/>
        <v>10</v>
      </c>
      <c r="I93" s="8">
        <f t="shared" si="28"/>
        <v>0.1</v>
      </c>
      <c r="J93" s="34"/>
      <c r="K93" s="8">
        <f t="shared" si="29"/>
        <v>0</v>
      </c>
      <c r="L93" s="34"/>
      <c r="M93" s="39"/>
    </row>
    <row r="94" spans="1:13" x14ac:dyDescent="0.15">
      <c r="A94" s="15">
        <v>11</v>
      </c>
      <c r="B94" s="15">
        <v>0</v>
      </c>
      <c r="C94" s="16">
        <v>0</v>
      </c>
      <c r="D94" s="17">
        <f t="shared" si="26"/>
        <v>-11</v>
      </c>
      <c r="E94" s="17">
        <f t="shared" si="27"/>
        <v>0</v>
      </c>
      <c r="F94" s="6">
        <v>1.4E-2</v>
      </c>
      <c r="H94" s="19">
        <f t="shared" si="25"/>
        <v>11</v>
      </c>
      <c r="I94" s="8">
        <f t="shared" si="28"/>
        <v>0.11</v>
      </c>
      <c r="J94" s="34"/>
      <c r="K94" s="8">
        <f t="shared" si="29"/>
        <v>0</v>
      </c>
      <c r="L94" s="34"/>
      <c r="M94" s="39"/>
    </row>
    <row r="96" spans="1:13" x14ac:dyDescent="0.15">
      <c r="A96" s="21" t="s">
        <v>33</v>
      </c>
      <c r="B96" s="7" t="s">
        <v>7</v>
      </c>
      <c r="C96" s="12"/>
      <c r="D96" s="12" t="s">
        <v>22</v>
      </c>
      <c r="E96" s="25" t="str">
        <f>$M$5</f>
        <v>psi</v>
      </c>
      <c r="F96" s="20"/>
      <c r="H96" s="21" t="s">
        <v>33</v>
      </c>
      <c r="I96" s="7" t="str">
        <f>B96</f>
        <v>CH7</v>
      </c>
      <c r="J96" s="4"/>
      <c r="K96" s="26"/>
      <c r="L96" s="7"/>
      <c r="M96" s="7"/>
    </row>
    <row r="97" spans="1:13" ht="15" customHeight="1" x14ac:dyDescent="0.15">
      <c r="A97" s="28" t="s">
        <v>26</v>
      </c>
      <c r="B97" s="28" t="s">
        <v>31</v>
      </c>
      <c r="C97" s="28"/>
      <c r="D97" s="29" t="s">
        <v>35</v>
      </c>
      <c r="E97" s="29" t="s">
        <v>36</v>
      </c>
      <c r="F97" s="28" t="s">
        <v>32</v>
      </c>
      <c r="H97" s="23" t="s">
        <v>26</v>
      </c>
      <c r="I97" s="35" t="s">
        <v>39</v>
      </c>
      <c r="J97" s="28" t="s">
        <v>17</v>
      </c>
      <c r="K97" s="38" t="s">
        <v>40</v>
      </c>
      <c r="L97" s="28" t="s">
        <v>17</v>
      </c>
      <c r="M97" s="28" t="s">
        <v>41</v>
      </c>
    </row>
    <row r="98" spans="1:13" x14ac:dyDescent="0.15">
      <c r="A98" s="28"/>
      <c r="B98" s="22" t="s">
        <v>30</v>
      </c>
      <c r="C98" s="22" t="s">
        <v>34</v>
      </c>
      <c r="D98" s="30"/>
      <c r="E98" s="30"/>
      <c r="F98" s="28"/>
      <c r="H98" s="24" t="str">
        <f>"（"&amp;$M$5&amp;"）"</f>
        <v>（psi）</v>
      </c>
      <c r="I98" s="36"/>
      <c r="J98" s="28"/>
      <c r="K98" s="28"/>
      <c r="L98" s="28"/>
      <c r="M98" s="28"/>
    </row>
    <row r="99" spans="1:13" x14ac:dyDescent="0.15">
      <c r="A99" s="15">
        <v>1</v>
      </c>
      <c r="B99" s="15">
        <v>0</v>
      </c>
      <c r="C99" s="16">
        <v>0</v>
      </c>
      <c r="D99" s="17">
        <f>IF(ABS(B99-A99)&gt;ABS(C99-A99),B99-A99,C99-A99)</f>
        <v>-1</v>
      </c>
      <c r="E99" s="17">
        <f>ABS(B99-C99)</f>
        <v>0</v>
      </c>
      <c r="F99" s="6">
        <v>1.4E-2</v>
      </c>
      <c r="H99" s="18">
        <f t="shared" ref="H99:H109" si="30">A99</f>
        <v>1</v>
      </c>
      <c r="I99" s="8">
        <f>ABS(D99)/($M$6-$K$6)</f>
        <v>0.01</v>
      </c>
      <c r="J99" s="34">
        <f>MAX(I99:I109)</f>
        <v>0.11</v>
      </c>
      <c r="K99" s="8">
        <f>ABS(E99)/($M$6-$K$6)</f>
        <v>0</v>
      </c>
      <c r="L99" s="34">
        <f>MAX(K99:K109)</f>
        <v>0</v>
      </c>
      <c r="M99" s="39"/>
    </row>
    <row r="100" spans="1:13" x14ac:dyDescent="0.15">
      <c r="A100" s="15">
        <v>2</v>
      </c>
      <c r="B100" s="15">
        <v>0</v>
      </c>
      <c r="C100" s="16">
        <v>0</v>
      </c>
      <c r="D100" s="17">
        <f t="shared" ref="D100:D109" si="31">IF(ABS(B100-A100)&gt;ABS(C100-A100),B100-A100,C100-A100)</f>
        <v>-2</v>
      </c>
      <c r="E100" s="17">
        <f t="shared" ref="E100:E109" si="32">ABS(B100-C100)</f>
        <v>0</v>
      </c>
      <c r="F100" s="6">
        <v>1.4E-2</v>
      </c>
      <c r="H100" s="19">
        <f t="shared" si="30"/>
        <v>2</v>
      </c>
      <c r="I100" s="8">
        <f t="shared" ref="I100:I109" si="33">ABS(D100)/($M$6-$K$6)</f>
        <v>0.02</v>
      </c>
      <c r="J100" s="34"/>
      <c r="K100" s="8">
        <f t="shared" ref="K100:K109" si="34">ABS(E100)/($M$6-$K$6)</f>
        <v>0</v>
      </c>
      <c r="L100" s="34"/>
      <c r="M100" s="39"/>
    </row>
    <row r="101" spans="1:13" x14ac:dyDescent="0.15">
      <c r="A101" s="15">
        <v>3</v>
      </c>
      <c r="B101" s="15">
        <v>0</v>
      </c>
      <c r="C101" s="16">
        <v>0</v>
      </c>
      <c r="D101" s="17">
        <f t="shared" si="31"/>
        <v>-3</v>
      </c>
      <c r="E101" s="17">
        <f t="shared" si="32"/>
        <v>0</v>
      </c>
      <c r="F101" s="6">
        <v>1.4E-2</v>
      </c>
      <c r="H101" s="19">
        <f t="shared" si="30"/>
        <v>3</v>
      </c>
      <c r="I101" s="8">
        <f t="shared" si="33"/>
        <v>0.03</v>
      </c>
      <c r="J101" s="34"/>
      <c r="K101" s="8">
        <f t="shared" si="34"/>
        <v>0</v>
      </c>
      <c r="L101" s="34"/>
      <c r="M101" s="39"/>
    </row>
    <row r="102" spans="1:13" x14ac:dyDescent="0.15">
      <c r="A102" s="15">
        <v>4</v>
      </c>
      <c r="B102" s="15">
        <v>0</v>
      </c>
      <c r="C102" s="16">
        <v>0</v>
      </c>
      <c r="D102" s="17">
        <f t="shared" si="31"/>
        <v>-4</v>
      </c>
      <c r="E102" s="17">
        <f t="shared" si="32"/>
        <v>0</v>
      </c>
      <c r="F102" s="6">
        <v>1.4E-2</v>
      </c>
      <c r="H102" s="19">
        <f t="shared" si="30"/>
        <v>4</v>
      </c>
      <c r="I102" s="8">
        <f t="shared" si="33"/>
        <v>0.04</v>
      </c>
      <c r="J102" s="34"/>
      <c r="K102" s="8">
        <f t="shared" si="34"/>
        <v>0</v>
      </c>
      <c r="L102" s="34"/>
      <c r="M102" s="39"/>
    </row>
    <row r="103" spans="1:13" x14ac:dyDescent="0.15">
      <c r="A103" s="15">
        <v>5</v>
      </c>
      <c r="B103" s="15">
        <v>0</v>
      </c>
      <c r="C103" s="16">
        <v>0</v>
      </c>
      <c r="D103" s="17">
        <f t="shared" si="31"/>
        <v>-5</v>
      </c>
      <c r="E103" s="17">
        <f t="shared" si="32"/>
        <v>0</v>
      </c>
      <c r="F103" s="6">
        <v>1.4E-2</v>
      </c>
      <c r="H103" s="19">
        <f t="shared" si="30"/>
        <v>5</v>
      </c>
      <c r="I103" s="8">
        <f t="shared" si="33"/>
        <v>0.05</v>
      </c>
      <c r="J103" s="34"/>
      <c r="K103" s="8">
        <f t="shared" si="34"/>
        <v>0</v>
      </c>
      <c r="L103" s="34"/>
      <c r="M103" s="39"/>
    </row>
    <row r="104" spans="1:13" x14ac:dyDescent="0.15">
      <c r="A104" s="15">
        <v>6</v>
      </c>
      <c r="B104" s="15">
        <v>0</v>
      </c>
      <c r="C104" s="16">
        <v>0</v>
      </c>
      <c r="D104" s="17">
        <f t="shared" si="31"/>
        <v>-6</v>
      </c>
      <c r="E104" s="17">
        <f t="shared" si="32"/>
        <v>0</v>
      </c>
      <c r="F104" s="6">
        <v>1.4E-2</v>
      </c>
      <c r="H104" s="19">
        <f t="shared" si="30"/>
        <v>6</v>
      </c>
      <c r="I104" s="8">
        <f t="shared" si="33"/>
        <v>0.06</v>
      </c>
      <c r="J104" s="34"/>
      <c r="K104" s="8">
        <f t="shared" si="34"/>
        <v>0</v>
      </c>
      <c r="L104" s="34"/>
      <c r="M104" s="39"/>
    </row>
    <row r="105" spans="1:13" x14ac:dyDescent="0.15">
      <c r="A105" s="15">
        <v>7</v>
      </c>
      <c r="B105" s="15">
        <v>0</v>
      </c>
      <c r="C105" s="16">
        <v>0</v>
      </c>
      <c r="D105" s="17">
        <f t="shared" si="31"/>
        <v>-7</v>
      </c>
      <c r="E105" s="17">
        <f t="shared" si="32"/>
        <v>0</v>
      </c>
      <c r="F105" s="6">
        <v>1.4E-2</v>
      </c>
      <c r="H105" s="19">
        <f t="shared" si="30"/>
        <v>7</v>
      </c>
      <c r="I105" s="8">
        <f t="shared" si="33"/>
        <v>7.0000000000000007E-2</v>
      </c>
      <c r="J105" s="34"/>
      <c r="K105" s="8">
        <f t="shared" si="34"/>
        <v>0</v>
      </c>
      <c r="L105" s="34"/>
      <c r="M105" s="39"/>
    </row>
    <row r="106" spans="1:13" x14ac:dyDescent="0.15">
      <c r="A106" s="15">
        <v>8</v>
      </c>
      <c r="B106" s="15">
        <v>0</v>
      </c>
      <c r="C106" s="16">
        <v>0</v>
      </c>
      <c r="D106" s="17">
        <f t="shared" si="31"/>
        <v>-8</v>
      </c>
      <c r="E106" s="17">
        <f t="shared" si="32"/>
        <v>0</v>
      </c>
      <c r="F106" s="6">
        <v>1.4E-2</v>
      </c>
      <c r="H106" s="19">
        <f t="shared" si="30"/>
        <v>8</v>
      </c>
      <c r="I106" s="8">
        <f t="shared" si="33"/>
        <v>0.08</v>
      </c>
      <c r="J106" s="34"/>
      <c r="K106" s="8">
        <f t="shared" si="34"/>
        <v>0</v>
      </c>
      <c r="L106" s="34"/>
      <c r="M106" s="39"/>
    </row>
    <row r="107" spans="1:13" x14ac:dyDescent="0.15">
      <c r="A107" s="15">
        <v>9</v>
      </c>
      <c r="B107" s="15">
        <v>0</v>
      </c>
      <c r="C107" s="16">
        <v>0</v>
      </c>
      <c r="D107" s="17">
        <f t="shared" si="31"/>
        <v>-9</v>
      </c>
      <c r="E107" s="17">
        <f t="shared" si="32"/>
        <v>0</v>
      </c>
      <c r="F107" s="6">
        <v>1.4E-2</v>
      </c>
      <c r="H107" s="19">
        <f t="shared" si="30"/>
        <v>9</v>
      </c>
      <c r="I107" s="8">
        <f t="shared" si="33"/>
        <v>0.09</v>
      </c>
      <c r="J107" s="34"/>
      <c r="K107" s="8">
        <f t="shared" si="34"/>
        <v>0</v>
      </c>
      <c r="L107" s="34"/>
      <c r="M107" s="39"/>
    </row>
    <row r="108" spans="1:13" x14ac:dyDescent="0.15">
      <c r="A108" s="15">
        <v>10</v>
      </c>
      <c r="B108" s="15">
        <v>0</v>
      </c>
      <c r="C108" s="16">
        <v>0</v>
      </c>
      <c r="D108" s="17">
        <f t="shared" si="31"/>
        <v>-10</v>
      </c>
      <c r="E108" s="17">
        <f t="shared" si="32"/>
        <v>0</v>
      </c>
      <c r="F108" s="6">
        <v>1.4E-2</v>
      </c>
      <c r="H108" s="19">
        <f t="shared" si="30"/>
        <v>10</v>
      </c>
      <c r="I108" s="8">
        <f t="shared" si="33"/>
        <v>0.1</v>
      </c>
      <c r="J108" s="34"/>
      <c r="K108" s="8">
        <f t="shared" si="34"/>
        <v>0</v>
      </c>
      <c r="L108" s="34"/>
      <c r="M108" s="39"/>
    </row>
    <row r="109" spans="1:13" x14ac:dyDescent="0.15">
      <c r="A109" s="15">
        <v>11</v>
      </c>
      <c r="B109" s="15">
        <v>0</v>
      </c>
      <c r="C109" s="16">
        <v>0</v>
      </c>
      <c r="D109" s="17">
        <f t="shared" si="31"/>
        <v>-11</v>
      </c>
      <c r="E109" s="17">
        <f t="shared" si="32"/>
        <v>0</v>
      </c>
      <c r="F109" s="6">
        <v>1.4E-2</v>
      </c>
      <c r="H109" s="19">
        <f t="shared" si="30"/>
        <v>11</v>
      </c>
      <c r="I109" s="8">
        <f t="shared" si="33"/>
        <v>0.11</v>
      </c>
      <c r="J109" s="34"/>
      <c r="K109" s="8">
        <f t="shared" si="34"/>
        <v>0</v>
      </c>
      <c r="L109" s="34"/>
      <c r="M109" s="39"/>
    </row>
    <row r="111" spans="1:13" x14ac:dyDescent="0.15">
      <c r="A111" s="21" t="s">
        <v>33</v>
      </c>
      <c r="B111" s="7" t="s">
        <v>8</v>
      </c>
      <c r="C111" s="12"/>
      <c r="D111" s="12" t="s">
        <v>22</v>
      </c>
      <c r="E111" s="25" t="str">
        <f>$M$5</f>
        <v>psi</v>
      </c>
      <c r="F111" s="20"/>
      <c r="H111" s="21" t="s">
        <v>33</v>
      </c>
      <c r="I111" s="7" t="str">
        <f>B111</f>
        <v>CH8</v>
      </c>
      <c r="J111" s="4"/>
      <c r="K111" s="26"/>
      <c r="L111" s="7"/>
      <c r="M111" s="7"/>
    </row>
    <row r="112" spans="1:13" ht="15" customHeight="1" x14ac:dyDescent="0.15">
      <c r="A112" s="28" t="s">
        <v>26</v>
      </c>
      <c r="B112" s="28" t="s">
        <v>31</v>
      </c>
      <c r="C112" s="28"/>
      <c r="D112" s="29" t="s">
        <v>35</v>
      </c>
      <c r="E112" s="29" t="s">
        <v>36</v>
      </c>
      <c r="F112" s="28" t="s">
        <v>32</v>
      </c>
      <c r="H112" s="23" t="s">
        <v>26</v>
      </c>
      <c r="I112" s="35" t="s">
        <v>39</v>
      </c>
      <c r="J112" s="28" t="s">
        <v>17</v>
      </c>
      <c r="K112" s="38" t="s">
        <v>40</v>
      </c>
      <c r="L112" s="28" t="s">
        <v>17</v>
      </c>
      <c r="M112" s="28" t="s">
        <v>41</v>
      </c>
    </row>
    <row r="113" spans="1:13" x14ac:dyDescent="0.15">
      <c r="A113" s="28"/>
      <c r="B113" s="22" t="s">
        <v>30</v>
      </c>
      <c r="C113" s="22" t="s">
        <v>34</v>
      </c>
      <c r="D113" s="30"/>
      <c r="E113" s="30"/>
      <c r="F113" s="28"/>
      <c r="H113" s="24" t="str">
        <f>"（"&amp;$M$5&amp;"）"</f>
        <v>（psi）</v>
      </c>
      <c r="I113" s="36"/>
      <c r="J113" s="28"/>
      <c r="K113" s="28"/>
      <c r="L113" s="28"/>
      <c r="M113" s="28"/>
    </row>
    <row r="114" spans="1:13" x14ac:dyDescent="0.15">
      <c r="A114" s="15">
        <v>1</v>
      </c>
      <c r="B114" s="15">
        <v>0</v>
      </c>
      <c r="C114" s="16">
        <v>0</v>
      </c>
      <c r="D114" s="17">
        <f>IF(ABS(B114-A114)&gt;ABS(C114-A114),B114-A114,C114-A114)</f>
        <v>-1</v>
      </c>
      <c r="E114" s="17">
        <f>ABS(B114-C114)</f>
        <v>0</v>
      </c>
      <c r="F114" s="6">
        <v>1.4E-2</v>
      </c>
      <c r="H114" s="18">
        <f t="shared" ref="H114:H124" si="35">A114</f>
        <v>1</v>
      </c>
      <c r="I114" s="8">
        <f>ABS(D114)/($M$6-$K$6)</f>
        <v>0.01</v>
      </c>
      <c r="J114" s="34">
        <f>MAX(I114:I124)</f>
        <v>0.11</v>
      </c>
      <c r="K114" s="8">
        <f>ABS(E114)/($M$6-$K$6)</f>
        <v>0</v>
      </c>
      <c r="L114" s="34">
        <f>MAX(K114:K124)</f>
        <v>0</v>
      </c>
      <c r="M114" s="39"/>
    </row>
    <row r="115" spans="1:13" x14ac:dyDescent="0.15">
      <c r="A115" s="15">
        <v>2</v>
      </c>
      <c r="B115" s="15">
        <v>0</v>
      </c>
      <c r="C115" s="16">
        <v>0</v>
      </c>
      <c r="D115" s="17">
        <f t="shared" ref="D115:D124" si="36">IF(ABS(B115-A115)&gt;ABS(C115-A115),B115-A115,C115-A115)</f>
        <v>-2</v>
      </c>
      <c r="E115" s="17">
        <f t="shared" ref="E115:E124" si="37">ABS(B115-C115)</f>
        <v>0</v>
      </c>
      <c r="F115" s="6">
        <v>1.4E-2</v>
      </c>
      <c r="H115" s="19">
        <f t="shared" si="35"/>
        <v>2</v>
      </c>
      <c r="I115" s="8">
        <f t="shared" ref="I115:I124" si="38">ABS(D115)/($M$6-$K$6)</f>
        <v>0.02</v>
      </c>
      <c r="J115" s="34"/>
      <c r="K115" s="8">
        <f t="shared" ref="K115:K124" si="39">ABS(E115)/($M$6-$K$6)</f>
        <v>0</v>
      </c>
      <c r="L115" s="34"/>
      <c r="M115" s="39"/>
    </row>
    <row r="116" spans="1:13" x14ac:dyDescent="0.15">
      <c r="A116" s="15">
        <v>3</v>
      </c>
      <c r="B116" s="15">
        <v>0</v>
      </c>
      <c r="C116" s="16">
        <v>0</v>
      </c>
      <c r="D116" s="17">
        <f t="shared" si="36"/>
        <v>-3</v>
      </c>
      <c r="E116" s="17">
        <f t="shared" si="37"/>
        <v>0</v>
      </c>
      <c r="F116" s="6">
        <v>1.4E-2</v>
      </c>
      <c r="H116" s="19">
        <f t="shared" si="35"/>
        <v>3</v>
      </c>
      <c r="I116" s="8">
        <f t="shared" si="38"/>
        <v>0.03</v>
      </c>
      <c r="J116" s="34"/>
      <c r="K116" s="8">
        <f t="shared" si="39"/>
        <v>0</v>
      </c>
      <c r="L116" s="34"/>
      <c r="M116" s="39"/>
    </row>
    <row r="117" spans="1:13" x14ac:dyDescent="0.15">
      <c r="A117" s="15">
        <v>4</v>
      </c>
      <c r="B117" s="15">
        <v>0</v>
      </c>
      <c r="C117" s="16">
        <v>0</v>
      </c>
      <c r="D117" s="17">
        <f t="shared" si="36"/>
        <v>-4</v>
      </c>
      <c r="E117" s="17">
        <f t="shared" si="37"/>
        <v>0</v>
      </c>
      <c r="F117" s="6">
        <v>1.4E-2</v>
      </c>
      <c r="H117" s="19">
        <f t="shared" si="35"/>
        <v>4</v>
      </c>
      <c r="I117" s="8">
        <f t="shared" si="38"/>
        <v>0.04</v>
      </c>
      <c r="J117" s="34"/>
      <c r="K117" s="8">
        <f t="shared" si="39"/>
        <v>0</v>
      </c>
      <c r="L117" s="34"/>
      <c r="M117" s="39"/>
    </row>
    <row r="118" spans="1:13" x14ac:dyDescent="0.15">
      <c r="A118" s="15">
        <v>5</v>
      </c>
      <c r="B118" s="15">
        <v>0</v>
      </c>
      <c r="C118" s="16">
        <v>0</v>
      </c>
      <c r="D118" s="17">
        <f t="shared" si="36"/>
        <v>-5</v>
      </c>
      <c r="E118" s="17">
        <f t="shared" si="37"/>
        <v>0</v>
      </c>
      <c r="F118" s="6">
        <v>1.4E-2</v>
      </c>
      <c r="H118" s="19">
        <f t="shared" si="35"/>
        <v>5</v>
      </c>
      <c r="I118" s="8">
        <f t="shared" si="38"/>
        <v>0.05</v>
      </c>
      <c r="J118" s="34"/>
      <c r="K118" s="8">
        <f t="shared" si="39"/>
        <v>0</v>
      </c>
      <c r="L118" s="34"/>
      <c r="M118" s="39"/>
    </row>
    <row r="119" spans="1:13" x14ac:dyDescent="0.15">
      <c r="A119" s="15">
        <v>6</v>
      </c>
      <c r="B119" s="15">
        <v>0</v>
      </c>
      <c r="C119" s="16">
        <v>0</v>
      </c>
      <c r="D119" s="17">
        <f t="shared" si="36"/>
        <v>-6</v>
      </c>
      <c r="E119" s="17">
        <f t="shared" si="37"/>
        <v>0</v>
      </c>
      <c r="F119" s="6">
        <v>1.4E-2</v>
      </c>
      <c r="H119" s="19">
        <f t="shared" si="35"/>
        <v>6</v>
      </c>
      <c r="I119" s="8">
        <f t="shared" si="38"/>
        <v>0.06</v>
      </c>
      <c r="J119" s="34"/>
      <c r="K119" s="8">
        <f t="shared" si="39"/>
        <v>0</v>
      </c>
      <c r="L119" s="34"/>
      <c r="M119" s="39"/>
    </row>
    <row r="120" spans="1:13" x14ac:dyDescent="0.15">
      <c r="A120" s="15">
        <v>7</v>
      </c>
      <c r="B120" s="15">
        <v>0</v>
      </c>
      <c r="C120" s="16">
        <v>0</v>
      </c>
      <c r="D120" s="17">
        <f t="shared" si="36"/>
        <v>-7</v>
      </c>
      <c r="E120" s="17">
        <f t="shared" si="37"/>
        <v>0</v>
      </c>
      <c r="F120" s="6">
        <v>1.4E-2</v>
      </c>
      <c r="H120" s="19">
        <f t="shared" si="35"/>
        <v>7</v>
      </c>
      <c r="I120" s="8">
        <f t="shared" si="38"/>
        <v>7.0000000000000007E-2</v>
      </c>
      <c r="J120" s="34"/>
      <c r="K120" s="8">
        <f t="shared" si="39"/>
        <v>0</v>
      </c>
      <c r="L120" s="34"/>
      <c r="M120" s="39"/>
    </row>
    <row r="121" spans="1:13" x14ac:dyDescent="0.15">
      <c r="A121" s="15">
        <v>8</v>
      </c>
      <c r="B121" s="15">
        <v>0</v>
      </c>
      <c r="C121" s="16">
        <v>0</v>
      </c>
      <c r="D121" s="17">
        <f t="shared" si="36"/>
        <v>-8</v>
      </c>
      <c r="E121" s="17">
        <f t="shared" si="37"/>
        <v>0</v>
      </c>
      <c r="F121" s="6">
        <v>1.4E-2</v>
      </c>
      <c r="H121" s="19">
        <f t="shared" si="35"/>
        <v>8</v>
      </c>
      <c r="I121" s="8">
        <f t="shared" si="38"/>
        <v>0.08</v>
      </c>
      <c r="J121" s="34"/>
      <c r="K121" s="8">
        <f t="shared" si="39"/>
        <v>0</v>
      </c>
      <c r="L121" s="34"/>
      <c r="M121" s="39"/>
    </row>
    <row r="122" spans="1:13" x14ac:dyDescent="0.15">
      <c r="A122" s="15">
        <v>9</v>
      </c>
      <c r="B122" s="15">
        <v>0</v>
      </c>
      <c r="C122" s="16">
        <v>0</v>
      </c>
      <c r="D122" s="17">
        <f t="shared" si="36"/>
        <v>-9</v>
      </c>
      <c r="E122" s="17">
        <f t="shared" si="37"/>
        <v>0</v>
      </c>
      <c r="F122" s="6">
        <v>1.4E-2</v>
      </c>
      <c r="H122" s="19">
        <f t="shared" si="35"/>
        <v>9</v>
      </c>
      <c r="I122" s="8">
        <f t="shared" si="38"/>
        <v>0.09</v>
      </c>
      <c r="J122" s="34"/>
      <c r="K122" s="8">
        <f t="shared" si="39"/>
        <v>0</v>
      </c>
      <c r="L122" s="34"/>
      <c r="M122" s="39"/>
    </row>
    <row r="123" spans="1:13" x14ac:dyDescent="0.15">
      <c r="A123" s="15">
        <v>10</v>
      </c>
      <c r="B123" s="15">
        <v>0</v>
      </c>
      <c r="C123" s="16">
        <v>0</v>
      </c>
      <c r="D123" s="17">
        <f t="shared" si="36"/>
        <v>-10</v>
      </c>
      <c r="E123" s="17">
        <f t="shared" si="37"/>
        <v>0</v>
      </c>
      <c r="F123" s="6">
        <v>1.4E-2</v>
      </c>
      <c r="H123" s="19">
        <f t="shared" si="35"/>
        <v>10</v>
      </c>
      <c r="I123" s="8">
        <f t="shared" si="38"/>
        <v>0.1</v>
      </c>
      <c r="J123" s="34"/>
      <c r="K123" s="8">
        <f t="shared" si="39"/>
        <v>0</v>
      </c>
      <c r="L123" s="34"/>
      <c r="M123" s="39"/>
    </row>
    <row r="124" spans="1:13" x14ac:dyDescent="0.15">
      <c r="A124" s="15">
        <v>11</v>
      </c>
      <c r="B124" s="15">
        <v>0</v>
      </c>
      <c r="C124" s="16">
        <v>0</v>
      </c>
      <c r="D124" s="17">
        <f t="shared" si="36"/>
        <v>-11</v>
      </c>
      <c r="E124" s="17">
        <f t="shared" si="37"/>
        <v>0</v>
      </c>
      <c r="F124" s="6">
        <v>1.4E-2</v>
      </c>
      <c r="H124" s="19">
        <f t="shared" si="35"/>
        <v>11</v>
      </c>
      <c r="I124" s="8">
        <f t="shared" si="38"/>
        <v>0.11</v>
      </c>
      <c r="J124" s="34"/>
      <c r="K124" s="8">
        <f t="shared" si="39"/>
        <v>0</v>
      </c>
      <c r="L124" s="34"/>
      <c r="M124" s="39"/>
    </row>
    <row r="126" spans="1:13" x14ac:dyDescent="0.15">
      <c r="A126" s="21" t="s">
        <v>33</v>
      </c>
      <c r="B126" s="7" t="s">
        <v>9</v>
      </c>
      <c r="C126" s="12"/>
      <c r="D126" s="12" t="s">
        <v>22</v>
      </c>
      <c r="E126" s="25" t="str">
        <f>$M$5</f>
        <v>psi</v>
      </c>
      <c r="F126" s="20"/>
      <c r="H126" s="21" t="s">
        <v>33</v>
      </c>
      <c r="I126" s="7" t="str">
        <f>B126</f>
        <v>CH9</v>
      </c>
      <c r="J126" s="4"/>
      <c r="K126" s="26"/>
      <c r="L126" s="7"/>
      <c r="M126" s="7"/>
    </row>
    <row r="127" spans="1:13" ht="15" customHeight="1" x14ac:dyDescent="0.15">
      <c r="A127" s="28" t="s">
        <v>26</v>
      </c>
      <c r="B127" s="28" t="s">
        <v>31</v>
      </c>
      <c r="C127" s="28"/>
      <c r="D127" s="29" t="s">
        <v>35</v>
      </c>
      <c r="E127" s="29" t="s">
        <v>36</v>
      </c>
      <c r="F127" s="28" t="s">
        <v>32</v>
      </c>
      <c r="H127" s="23" t="s">
        <v>26</v>
      </c>
      <c r="I127" s="35" t="s">
        <v>39</v>
      </c>
      <c r="J127" s="28" t="s">
        <v>17</v>
      </c>
      <c r="K127" s="38" t="s">
        <v>40</v>
      </c>
      <c r="L127" s="28" t="s">
        <v>17</v>
      </c>
      <c r="M127" s="28" t="s">
        <v>41</v>
      </c>
    </row>
    <row r="128" spans="1:13" x14ac:dyDescent="0.15">
      <c r="A128" s="28"/>
      <c r="B128" s="22" t="s">
        <v>30</v>
      </c>
      <c r="C128" s="22" t="s">
        <v>34</v>
      </c>
      <c r="D128" s="30"/>
      <c r="E128" s="30"/>
      <c r="F128" s="28"/>
      <c r="H128" s="24" t="str">
        <f>"（"&amp;$M$5&amp;"）"</f>
        <v>（psi）</v>
      </c>
      <c r="I128" s="36"/>
      <c r="J128" s="28"/>
      <c r="K128" s="28"/>
      <c r="L128" s="28"/>
      <c r="M128" s="28"/>
    </row>
    <row r="129" spans="1:13" x14ac:dyDescent="0.15">
      <c r="A129" s="15">
        <v>1</v>
      </c>
      <c r="B129" s="15">
        <v>0</v>
      </c>
      <c r="C129" s="16">
        <v>0</v>
      </c>
      <c r="D129" s="17">
        <f>IF(ABS(B129-A129)&gt;ABS(C129-A129),B129-A129,C129-A129)</f>
        <v>-1</v>
      </c>
      <c r="E129" s="17">
        <f>ABS(B129-C129)</f>
        <v>0</v>
      </c>
      <c r="F129" s="6">
        <v>1.4E-2</v>
      </c>
      <c r="H129" s="18">
        <f t="shared" ref="H129:H139" si="40">A129</f>
        <v>1</v>
      </c>
      <c r="I129" s="8">
        <f>ABS(D129)/($M$6-$K$6)</f>
        <v>0.01</v>
      </c>
      <c r="J129" s="34">
        <f>MAX(I129:I139)</f>
        <v>0.11</v>
      </c>
      <c r="K129" s="8">
        <f>ABS(E129)/($M$6-$K$6)</f>
        <v>0</v>
      </c>
      <c r="L129" s="34">
        <f>MAX(K129:K139)</f>
        <v>0</v>
      </c>
      <c r="M129" s="39"/>
    </row>
    <row r="130" spans="1:13" x14ac:dyDescent="0.15">
      <c r="A130" s="15">
        <v>2</v>
      </c>
      <c r="B130" s="15">
        <v>0</v>
      </c>
      <c r="C130" s="16">
        <v>0</v>
      </c>
      <c r="D130" s="17">
        <f t="shared" ref="D130:D139" si="41">IF(ABS(B130-A130)&gt;ABS(C130-A130),B130-A130,C130-A130)</f>
        <v>-2</v>
      </c>
      <c r="E130" s="17">
        <f t="shared" ref="E130:E139" si="42">ABS(B130-C130)</f>
        <v>0</v>
      </c>
      <c r="F130" s="6">
        <v>1.4E-2</v>
      </c>
      <c r="H130" s="19">
        <f t="shared" si="40"/>
        <v>2</v>
      </c>
      <c r="I130" s="8">
        <f t="shared" ref="I130:I139" si="43">ABS(D130)/($M$6-$K$6)</f>
        <v>0.02</v>
      </c>
      <c r="J130" s="34"/>
      <c r="K130" s="8">
        <f t="shared" ref="K130:K139" si="44">ABS(E130)/($M$6-$K$6)</f>
        <v>0</v>
      </c>
      <c r="L130" s="34"/>
      <c r="M130" s="39"/>
    </row>
    <row r="131" spans="1:13" x14ac:dyDescent="0.15">
      <c r="A131" s="15">
        <v>3</v>
      </c>
      <c r="B131" s="15">
        <v>0</v>
      </c>
      <c r="C131" s="16">
        <v>0</v>
      </c>
      <c r="D131" s="17">
        <f t="shared" si="41"/>
        <v>-3</v>
      </c>
      <c r="E131" s="17">
        <f t="shared" si="42"/>
        <v>0</v>
      </c>
      <c r="F131" s="6">
        <v>1.4E-2</v>
      </c>
      <c r="H131" s="19">
        <f t="shared" si="40"/>
        <v>3</v>
      </c>
      <c r="I131" s="8">
        <f t="shared" si="43"/>
        <v>0.03</v>
      </c>
      <c r="J131" s="34"/>
      <c r="K131" s="8">
        <f t="shared" si="44"/>
        <v>0</v>
      </c>
      <c r="L131" s="34"/>
      <c r="M131" s="39"/>
    </row>
    <row r="132" spans="1:13" x14ac:dyDescent="0.15">
      <c r="A132" s="15">
        <v>4</v>
      </c>
      <c r="B132" s="15">
        <v>0</v>
      </c>
      <c r="C132" s="16">
        <v>0</v>
      </c>
      <c r="D132" s="17">
        <f t="shared" si="41"/>
        <v>-4</v>
      </c>
      <c r="E132" s="17">
        <f t="shared" si="42"/>
        <v>0</v>
      </c>
      <c r="F132" s="6">
        <v>1.4E-2</v>
      </c>
      <c r="H132" s="19">
        <f t="shared" si="40"/>
        <v>4</v>
      </c>
      <c r="I132" s="8">
        <f t="shared" si="43"/>
        <v>0.04</v>
      </c>
      <c r="J132" s="34"/>
      <c r="K132" s="8">
        <f t="shared" si="44"/>
        <v>0</v>
      </c>
      <c r="L132" s="34"/>
      <c r="M132" s="39"/>
    </row>
    <row r="133" spans="1:13" x14ac:dyDescent="0.15">
      <c r="A133" s="15">
        <v>5</v>
      </c>
      <c r="B133" s="15">
        <v>0</v>
      </c>
      <c r="C133" s="16">
        <v>0</v>
      </c>
      <c r="D133" s="17">
        <f t="shared" si="41"/>
        <v>-5</v>
      </c>
      <c r="E133" s="17">
        <f t="shared" si="42"/>
        <v>0</v>
      </c>
      <c r="F133" s="6">
        <v>1.4E-2</v>
      </c>
      <c r="H133" s="19">
        <f t="shared" si="40"/>
        <v>5</v>
      </c>
      <c r="I133" s="8">
        <f t="shared" si="43"/>
        <v>0.05</v>
      </c>
      <c r="J133" s="34"/>
      <c r="K133" s="8">
        <f t="shared" si="44"/>
        <v>0</v>
      </c>
      <c r="L133" s="34"/>
      <c r="M133" s="39"/>
    </row>
    <row r="134" spans="1:13" x14ac:dyDescent="0.15">
      <c r="A134" s="15">
        <v>6</v>
      </c>
      <c r="B134" s="15">
        <v>0</v>
      </c>
      <c r="C134" s="16">
        <v>0</v>
      </c>
      <c r="D134" s="17">
        <f t="shared" si="41"/>
        <v>-6</v>
      </c>
      <c r="E134" s="17">
        <f t="shared" si="42"/>
        <v>0</v>
      </c>
      <c r="F134" s="6">
        <v>1.4E-2</v>
      </c>
      <c r="H134" s="19">
        <f t="shared" si="40"/>
        <v>6</v>
      </c>
      <c r="I134" s="8">
        <f t="shared" si="43"/>
        <v>0.06</v>
      </c>
      <c r="J134" s="34"/>
      <c r="K134" s="8">
        <f t="shared" si="44"/>
        <v>0</v>
      </c>
      <c r="L134" s="34"/>
      <c r="M134" s="39"/>
    </row>
    <row r="135" spans="1:13" x14ac:dyDescent="0.15">
      <c r="A135" s="15">
        <v>7</v>
      </c>
      <c r="B135" s="15">
        <v>0</v>
      </c>
      <c r="C135" s="16">
        <v>0</v>
      </c>
      <c r="D135" s="17">
        <f t="shared" si="41"/>
        <v>-7</v>
      </c>
      <c r="E135" s="17">
        <f t="shared" si="42"/>
        <v>0</v>
      </c>
      <c r="F135" s="6">
        <v>1.4E-2</v>
      </c>
      <c r="H135" s="19">
        <f t="shared" si="40"/>
        <v>7</v>
      </c>
      <c r="I135" s="8">
        <f t="shared" si="43"/>
        <v>7.0000000000000007E-2</v>
      </c>
      <c r="J135" s="34"/>
      <c r="K135" s="8">
        <f t="shared" si="44"/>
        <v>0</v>
      </c>
      <c r="L135" s="34"/>
      <c r="M135" s="39"/>
    </row>
    <row r="136" spans="1:13" x14ac:dyDescent="0.15">
      <c r="A136" s="15">
        <v>8</v>
      </c>
      <c r="B136" s="15">
        <v>0</v>
      </c>
      <c r="C136" s="16">
        <v>0</v>
      </c>
      <c r="D136" s="17">
        <f t="shared" si="41"/>
        <v>-8</v>
      </c>
      <c r="E136" s="17">
        <f t="shared" si="42"/>
        <v>0</v>
      </c>
      <c r="F136" s="6">
        <v>1.4E-2</v>
      </c>
      <c r="H136" s="19">
        <f t="shared" si="40"/>
        <v>8</v>
      </c>
      <c r="I136" s="8">
        <f t="shared" si="43"/>
        <v>0.08</v>
      </c>
      <c r="J136" s="34"/>
      <c r="K136" s="8">
        <f t="shared" si="44"/>
        <v>0</v>
      </c>
      <c r="L136" s="34"/>
      <c r="M136" s="39"/>
    </row>
    <row r="137" spans="1:13" x14ac:dyDescent="0.15">
      <c r="A137" s="15">
        <v>9</v>
      </c>
      <c r="B137" s="15">
        <v>0</v>
      </c>
      <c r="C137" s="16">
        <v>0</v>
      </c>
      <c r="D137" s="17">
        <f t="shared" si="41"/>
        <v>-9</v>
      </c>
      <c r="E137" s="17">
        <f t="shared" si="42"/>
        <v>0</v>
      </c>
      <c r="F137" s="6">
        <v>1.4E-2</v>
      </c>
      <c r="H137" s="19">
        <f t="shared" si="40"/>
        <v>9</v>
      </c>
      <c r="I137" s="8">
        <f t="shared" si="43"/>
        <v>0.09</v>
      </c>
      <c r="J137" s="34"/>
      <c r="K137" s="8">
        <f t="shared" si="44"/>
        <v>0</v>
      </c>
      <c r="L137" s="34"/>
      <c r="M137" s="39"/>
    </row>
    <row r="138" spans="1:13" x14ac:dyDescent="0.15">
      <c r="A138" s="15">
        <v>10</v>
      </c>
      <c r="B138" s="15">
        <v>0</v>
      </c>
      <c r="C138" s="16">
        <v>0</v>
      </c>
      <c r="D138" s="17">
        <f t="shared" si="41"/>
        <v>-10</v>
      </c>
      <c r="E138" s="17">
        <f t="shared" si="42"/>
        <v>0</v>
      </c>
      <c r="F138" s="6">
        <v>1.4E-2</v>
      </c>
      <c r="H138" s="19">
        <f t="shared" si="40"/>
        <v>10</v>
      </c>
      <c r="I138" s="8">
        <f t="shared" si="43"/>
        <v>0.1</v>
      </c>
      <c r="J138" s="34"/>
      <c r="K138" s="8">
        <f t="shared" si="44"/>
        <v>0</v>
      </c>
      <c r="L138" s="34"/>
      <c r="M138" s="39"/>
    </row>
    <row r="139" spans="1:13" x14ac:dyDescent="0.15">
      <c r="A139" s="15">
        <v>11</v>
      </c>
      <c r="B139" s="15">
        <v>0</v>
      </c>
      <c r="C139" s="16">
        <v>0</v>
      </c>
      <c r="D139" s="17">
        <f t="shared" si="41"/>
        <v>-11</v>
      </c>
      <c r="E139" s="17">
        <f t="shared" si="42"/>
        <v>0</v>
      </c>
      <c r="F139" s="6">
        <v>1.4E-2</v>
      </c>
      <c r="H139" s="19">
        <f t="shared" si="40"/>
        <v>11</v>
      </c>
      <c r="I139" s="8">
        <f t="shared" si="43"/>
        <v>0.11</v>
      </c>
      <c r="J139" s="34"/>
      <c r="K139" s="8">
        <f t="shared" si="44"/>
        <v>0</v>
      </c>
      <c r="L139" s="34"/>
      <c r="M139" s="39"/>
    </row>
    <row r="141" spans="1:13" x14ac:dyDescent="0.15">
      <c r="A141" s="21" t="s">
        <v>33</v>
      </c>
      <c r="B141" s="7" t="s">
        <v>10</v>
      </c>
      <c r="C141" s="12"/>
      <c r="D141" s="12" t="s">
        <v>22</v>
      </c>
      <c r="E141" s="25" t="str">
        <f>$M$5</f>
        <v>psi</v>
      </c>
      <c r="F141" s="20"/>
      <c r="H141" s="21" t="s">
        <v>33</v>
      </c>
      <c r="I141" s="7" t="str">
        <f>B141</f>
        <v>CH10</v>
      </c>
      <c r="J141" s="4"/>
      <c r="K141" s="26"/>
      <c r="L141" s="7"/>
      <c r="M141" s="7"/>
    </row>
    <row r="142" spans="1:13" ht="15" customHeight="1" x14ac:dyDescent="0.15">
      <c r="A142" s="28" t="s">
        <v>26</v>
      </c>
      <c r="B142" s="28" t="s">
        <v>31</v>
      </c>
      <c r="C142" s="28"/>
      <c r="D142" s="29" t="s">
        <v>35</v>
      </c>
      <c r="E142" s="29" t="s">
        <v>36</v>
      </c>
      <c r="F142" s="28" t="s">
        <v>32</v>
      </c>
      <c r="H142" s="23" t="s">
        <v>26</v>
      </c>
      <c r="I142" s="35" t="s">
        <v>39</v>
      </c>
      <c r="J142" s="28" t="s">
        <v>17</v>
      </c>
      <c r="K142" s="38" t="s">
        <v>40</v>
      </c>
      <c r="L142" s="28" t="s">
        <v>17</v>
      </c>
      <c r="M142" s="28" t="s">
        <v>41</v>
      </c>
    </row>
    <row r="143" spans="1:13" x14ac:dyDescent="0.15">
      <c r="A143" s="28"/>
      <c r="B143" s="22" t="s">
        <v>30</v>
      </c>
      <c r="C143" s="22" t="s">
        <v>34</v>
      </c>
      <c r="D143" s="30"/>
      <c r="E143" s="30"/>
      <c r="F143" s="28"/>
      <c r="H143" s="24" t="str">
        <f>"（"&amp;$M$5&amp;"）"</f>
        <v>（psi）</v>
      </c>
      <c r="I143" s="36"/>
      <c r="J143" s="28"/>
      <c r="K143" s="28"/>
      <c r="L143" s="28"/>
      <c r="M143" s="28"/>
    </row>
    <row r="144" spans="1:13" x14ac:dyDescent="0.15">
      <c r="A144" s="15">
        <v>1</v>
      </c>
      <c r="B144" s="15">
        <v>0</v>
      </c>
      <c r="C144" s="16">
        <v>0</v>
      </c>
      <c r="D144" s="17">
        <f>IF(ABS(B144-A144)&gt;ABS(C144-A144),B144-A144,C144-A144)</f>
        <v>-1</v>
      </c>
      <c r="E144" s="17">
        <f>ABS(B144-C144)</f>
        <v>0</v>
      </c>
      <c r="F144" s="6">
        <v>1.4E-2</v>
      </c>
      <c r="H144" s="18">
        <f t="shared" ref="H144:H154" si="45">A144</f>
        <v>1</v>
      </c>
      <c r="I144" s="8">
        <f>ABS(D144)/($M$6-$K$6)</f>
        <v>0.01</v>
      </c>
      <c r="J144" s="34">
        <f>MAX(I144:I154)</f>
        <v>0.11</v>
      </c>
      <c r="K144" s="8">
        <f>ABS(E144)/($M$6-$K$6)</f>
        <v>0</v>
      </c>
      <c r="L144" s="34">
        <f>MAX(K144:K154)</f>
        <v>0</v>
      </c>
      <c r="M144" s="39"/>
    </row>
    <row r="145" spans="1:13" x14ac:dyDescent="0.15">
      <c r="A145" s="15">
        <v>2</v>
      </c>
      <c r="B145" s="15">
        <v>0</v>
      </c>
      <c r="C145" s="16">
        <v>0</v>
      </c>
      <c r="D145" s="17">
        <f t="shared" ref="D145:D154" si="46">IF(ABS(B145-A145)&gt;ABS(C145-A145),B145-A145,C145-A145)</f>
        <v>-2</v>
      </c>
      <c r="E145" s="17">
        <f t="shared" ref="E145:E154" si="47">ABS(B145-C145)</f>
        <v>0</v>
      </c>
      <c r="F145" s="6">
        <v>1.4E-2</v>
      </c>
      <c r="H145" s="19">
        <f t="shared" si="45"/>
        <v>2</v>
      </c>
      <c r="I145" s="8">
        <f t="shared" ref="I145:I154" si="48">ABS(D145)/($M$6-$K$6)</f>
        <v>0.02</v>
      </c>
      <c r="J145" s="34"/>
      <c r="K145" s="8">
        <f t="shared" ref="K145:K154" si="49">ABS(E145)/($M$6-$K$6)</f>
        <v>0</v>
      </c>
      <c r="L145" s="34"/>
      <c r="M145" s="39"/>
    </row>
    <row r="146" spans="1:13" x14ac:dyDescent="0.15">
      <c r="A146" s="15">
        <v>3</v>
      </c>
      <c r="B146" s="15">
        <v>0</v>
      </c>
      <c r="C146" s="16">
        <v>0</v>
      </c>
      <c r="D146" s="17">
        <f t="shared" si="46"/>
        <v>-3</v>
      </c>
      <c r="E146" s="17">
        <f t="shared" si="47"/>
        <v>0</v>
      </c>
      <c r="F146" s="6">
        <v>1.4E-2</v>
      </c>
      <c r="H146" s="19">
        <f t="shared" si="45"/>
        <v>3</v>
      </c>
      <c r="I146" s="8">
        <f t="shared" si="48"/>
        <v>0.03</v>
      </c>
      <c r="J146" s="34"/>
      <c r="K146" s="8">
        <f t="shared" si="49"/>
        <v>0</v>
      </c>
      <c r="L146" s="34"/>
      <c r="M146" s="39"/>
    </row>
    <row r="147" spans="1:13" x14ac:dyDescent="0.15">
      <c r="A147" s="15">
        <v>4</v>
      </c>
      <c r="B147" s="15">
        <v>0</v>
      </c>
      <c r="C147" s="16">
        <v>0</v>
      </c>
      <c r="D147" s="17">
        <f t="shared" si="46"/>
        <v>-4</v>
      </c>
      <c r="E147" s="17">
        <f t="shared" si="47"/>
        <v>0</v>
      </c>
      <c r="F147" s="6">
        <v>1.4E-2</v>
      </c>
      <c r="H147" s="19">
        <f t="shared" si="45"/>
        <v>4</v>
      </c>
      <c r="I147" s="8">
        <f t="shared" si="48"/>
        <v>0.04</v>
      </c>
      <c r="J147" s="34"/>
      <c r="K147" s="8">
        <f t="shared" si="49"/>
        <v>0</v>
      </c>
      <c r="L147" s="34"/>
      <c r="M147" s="39"/>
    </row>
    <row r="148" spans="1:13" x14ac:dyDescent="0.15">
      <c r="A148" s="15">
        <v>5</v>
      </c>
      <c r="B148" s="15">
        <v>0</v>
      </c>
      <c r="C148" s="16">
        <v>0</v>
      </c>
      <c r="D148" s="17">
        <f t="shared" si="46"/>
        <v>-5</v>
      </c>
      <c r="E148" s="17">
        <f t="shared" si="47"/>
        <v>0</v>
      </c>
      <c r="F148" s="6">
        <v>1.4E-2</v>
      </c>
      <c r="H148" s="19">
        <f t="shared" si="45"/>
        <v>5</v>
      </c>
      <c r="I148" s="8">
        <f t="shared" si="48"/>
        <v>0.05</v>
      </c>
      <c r="J148" s="34"/>
      <c r="K148" s="8">
        <f t="shared" si="49"/>
        <v>0</v>
      </c>
      <c r="L148" s="34"/>
      <c r="M148" s="39"/>
    </row>
    <row r="149" spans="1:13" x14ac:dyDescent="0.15">
      <c r="A149" s="15">
        <v>6</v>
      </c>
      <c r="B149" s="15">
        <v>0</v>
      </c>
      <c r="C149" s="16">
        <v>0</v>
      </c>
      <c r="D149" s="17">
        <f t="shared" si="46"/>
        <v>-6</v>
      </c>
      <c r="E149" s="17">
        <f t="shared" si="47"/>
        <v>0</v>
      </c>
      <c r="F149" s="6">
        <v>1.4E-2</v>
      </c>
      <c r="H149" s="19">
        <f t="shared" si="45"/>
        <v>6</v>
      </c>
      <c r="I149" s="8">
        <f t="shared" si="48"/>
        <v>0.06</v>
      </c>
      <c r="J149" s="34"/>
      <c r="K149" s="8">
        <f t="shared" si="49"/>
        <v>0</v>
      </c>
      <c r="L149" s="34"/>
      <c r="M149" s="39"/>
    </row>
    <row r="150" spans="1:13" x14ac:dyDescent="0.15">
      <c r="A150" s="15">
        <v>7</v>
      </c>
      <c r="B150" s="15">
        <v>0</v>
      </c>
      <c r="C150" s="16">
        <v>0</v>
      </c>
      <c r="D150" s="17">
        <f t="shared" si="46"/>
        <v>-7</v>
      </c>
      <c r="E150" s="17">
        <f t="shared" si="47"/>
        <v>0</v>
      </c>
      <c r="F150" s="6">
        <v>1.4E-2</v>
      </c>
      <c r="H150" s="19">
        <f t="shared" si="45"/>
        <v>7</v>
      </c>
      <c r="I150" s="8">
        <f t="shared" si="48"/>
        <v>7.0000000000000007E-2</v>
      </c>
      <c r="J150" s="34"/>
      <c r="K150" s="8">
        <f t="shared" si="49"/>
        <v>0</v>
      </c>
      <c r="L150" s="34"/>
      <c r="M150" s="39"/>
    </row>
    <row r="151" spans="1:13" x14ac:dyDescent="0.15">
      <c r="A151" s="15">
        <v>8</v>
      </c>
      <c r="B151" s="15">
        <v>0</v>
      </c>
      <c r="C151" s="16">
        <v>0</v>
      </c>
      <c r="D151" s="17">
        <f t="shared" si="46"/>
        <v>-8</v>
      </c>
      <c r="E151" s="17">
        <f t="shared" si="47"/>
        <v>0</v>
      </c>
      <c r="F151" s="6">
        <v>1.4E-2</v>
      </c>
      <c r="H151" s="19">
        <f t="shared" si="45"/>
        <v>8</v>
      </c>
      <c r="I151" s="8">
        <f t="shared" si="48"/>
        <v>0.08</v>
      </c>
      <c r="J151" s="34"/>
      <c r="K151" s="8">
        <f t="shared" si="49"/>
        <v>0</v>
      </c>
      <c r="L151" s="34"/>
      <c r="M151" s="39"/>
    </row>
    <row r="152" spans="1:13" x14ac:dyDescent="0.15">
      <c r="A152" s="15">
        <v>9</v>
      </c>
      <c r="B152" s="15">
        <v>0</v>
      </c>
      <c r="C152" s="16">
        <v>0</v>
      </c>
      <c r="D152" s="17">
        <f t="shared" si="46"/>
        <v>-9</v>
      </c>
      <c r="E152" s="17">
        <f t="shared" si="47"/>
        <v>0</v>
      </c>
      <c r="F152" s="6">
        <v>1.4E-2</v>
      </c>
      <c r="H152" s="19">
        <f t="shared" si="45"/>
        <v>9</v>
      </c>
      <c r="I152" s="8">
        <f t="shared" si="48"/>
        <v>0.09</v>
      </c>
      <c r="J152" s="34"/>
      <c r="K152" s="8">
        <f t="shared" si="49"/>
        <v>0</v>
      </c>
      <c r="L152" s="34"/>
      <c r="M152" s="39"/>
    </row>
    <row r="153" spans="1:13" x14ac:dyDescent="0.15">
      <c r="A153" s="15">
        <v>10</v>
      </c>
      <c r="B153" s="15">
        <v>0</v>
      </c>
      <c r="C153" s="16">
        <v>0</v>
      </c>
      <c r="D153" s="17">
        <f t="shared" si="46"/>
        <v>-10</v>
      </c>
      <c r="E153" s="17">
        <f t="shared" si="47"/>
        <v>0</v>
      </c>
      <c r="F153" s="6">
        <v>1.4E-2</v>
      </c>
      <c r="H153" s="19">
        <f t="shared" si="45"/>
        <v>10</v>
      </c>
      <c r="I153" s="8">
        <f t="shared" si="48"/>
        <v>0.1</v>
      </c>
      <c r="J153" s="34"/>
      <c r="K153" s="8">
        <f t="shared" si="49"/>
        <v>0</v>
      </c>
      <c r="L153" s="34"/>
      <c r="M153" s="39"/>
    </row>
    <row r="154" spans="1:13" x14ac:dyDescent="0.15">
      <c r="A154" s="15">
        <v>11</v>
      </c>
      <c r="B154" s="15">
        <v>0</v>
      </c>
      <c r="C154" s="16">
        <v>0</v>
      </c>
      <c r="D154" s="17">
        <f t="shared" si="46"/>
        <v>-11</v>
      </c>
      <c r="E154" s="17">
        <f t="shared" si="47"/>
        <v>0</v>
      </c>
      <c r="F154" s="6">
        <v>1.4E-2</v>
      </c>
      <c r="H154" s="19">
        <f t="shared" si="45"/>
        <v>11</v>
      </c>
      <c r="I154" s="8">
        <f t="shared" si="48"/>
        <v>0.11</v>
      </c>
      <c r="J154" s="34"/>
      <c r="K154" s="8">
        <f t="shared" si="49"/>
        <v>0</v>
      </c>
      <c r="L154" s="34"/>
      <c r="M154" s="39"/>
    </row>
    <row r="156" spans="1:13" x14ac:dyDescent="0.15">
      <c r="A156" s="21" t="s">
        <v>33</v>
      </c>
      <c r="B156" s="7" t="s">
        <v>11</v>
      </c>
      <c r="C156" s="12"/>
      <c r="D156" s="12" t="s">
        <v>22</v>
      </c>
      <c r="E156" s="25" t="str">
        <f>$M$5</f>
        <v>psi</v>
      </c>
      <c r="F156" s="20"/>
      <c r="H156" s="21" t="s">
        <v>33</v>
      </c>
      <c r="I156" s="7" t="str">
        <f>B156</f>
        <v>CH11</v>
      </c>
      <c r="J156" s="4"/>
      <c r="K156" s="26"/>
      <c r="L156" s="7"/>
      <c r="M156" s="7"/>
    </row>
    <row r="157" spans="1:13" ht="15" customHeight="1" x14ac:dyDescent="0.15">
      <c r="A157" s="28" t="s">
        <v>26</v>
      </c>
      <c r="B157" s="28" t="s">
        <v>31</v>
      </c>
      <c r="C157" s="28"/>
      <c r="D157" s="29" t="s">
        <v>35</v>
      </c>
      <c r="E157" s="29" t="s">
        <v>36</v>
      </c>
      <c r="F157" s="28" t="s">
        <v>32</v>
      </c>
      <c r="H157" s="23" t="s">
        <v>26</v>
      </c>
      <c r="I157" s="35" t="s">
        <v>39</v>
      </c>
      <c r="J157" s="28" t="s">
        <v>17</v>
      </c>
      <c r="K157" s="38" t="s">
        <v>40</v>
      </c>
      <c r="L157" s="28" t="s">
        <v>17</v>
      </c>
      <c r="M157" s="28" t="s">
        <v>41</v>
      </c>
    </row>
    <row r="158" spans="1:13" x14ac:dyDescent="0.15">
      <c r="A158" s="28"/>
      <c r="B158" s="22" t="s">
        <v>30</v>
      </c>
      <c r="C158" s="22" t="s">
        <v>34</v>
      </c>
      <c r="D158" s="30"/>
      <c r="E158" s="30"/>
      <c r="F158" s="28"/>
      <c r="H158" s="24" t="str">
        <f>"（"&amp;$M$5&amp;"）"</f>
        <v>（psi）</v>
      </c>
      <c r="I158" s="36"/>
      <c r="J158" s="28"/>
      <c r="K158" s="28"/>
      <c r="L158" s="28"/>
      <c r="M158" s="28"/>
    </row>
    <row r="159" spans="1:13" x14ac:dyDescent="0.15">
      <c r="A159" s="15">
        <v>1</v>
      </c>
      <c r="B159" s="15">
        <v>0</v>
      </c>
      <c r="C159" s="16">
        <v>0</v>
      </c>
      <c r="D159" s="17">
        <f>IF(ABS(B159-A159)&gt;ABS(C159-A159),B159-A159,C159-A159)</f>
        <v>-1</v>
      </c>
      <c r="E159" s="17">
        <f>ABS(B159-C159)</f>
        <v>0</v>
      </c>
      <c r="F159" s="6">
        <v>1.4E-2</v>
      </c>
      <c r="H159" s="18">
        <f t="shared" ref="H159:H169" si="50">A159</f>
        <v>1</v>
      </c>
      <c r="I159" s="8">
        <f>ABS(D159)/($M$6-$K$6)</f>
        <v>0.01</v>
      </c>
      <c r="J159" s="34">
        <f>MAX(I159:I169)</f>
        <v>0.11</v>
      </c>
      <c r="K159" s="8">
        <f>ABS(E159)/($M$6-$K$6)</f>
        <v>0</v>
      </c>
      <c r="L159" s="34">
        <f>MAX(K159:K169)</f>
        <v>0</v>
      </c>
      <c r="M159" s="39"/>
    </row>
    <row r="160" spans="1:13" x14ac:dyDescent="0.15">
      <c r="A160" s="15">
        <v>2</v>
      </c>
      <c r="B160" s="15">
        <v>0</v>
      </c>
      <c r="C160" s="16">
        <v>0</v>
      </c>
      <c r="D160" s="17">
        <f t="shared" ref="D160:D169" si="51">IF(ABS(B160-A160)&gt;ABS(C160-A160),B160-A160,C160-A160)</f>
        <v>-2</v>
      </c>
      <c r="E160" s="17">
        <f t="shared" ref="E160:E169" si="52">ABS(B160-C160)</f>
        <v>0</v>
      </c>
      <c r="F160" s="6">
        <v>1.4E-2</v>
      </c>
      <c r="H160" s="19">
        <f t="shared" si="50"/>
        <v>2</v>
      </c>
      <c r="I160" s="8">
        <f t="shared" ref="I160:I169" si="53">ABS(D160)/($M$6-$K$6)</f>
        <v>0.02</v>
      </c>
      <c r="J160" s="34"/>
      <c r="K160" s="8">
        <f t="shared" ref="K160:K169" si="54">ABS(E160)/($M$6-$K$6)</f>
        <v>0</v>
      </c>
      <c r="L160" s="34"/>
      <c r="M160" s="39"/>
    </row>
    <row r="161" spans="1:13" x14ac:dyDescent="0.15">
      <c r="A161" s="15">
        <v>3</v>
      </c>
      <c r="B161" s="15">
        <v>0</v>
      </c>
      <c r="C161" s="16">
        <v>0</v>
      </c>
      <c r="D161" s="17">
        <f t="shared" si="51"/>
        <v>-3</v>
      </c>
      <c r="E161" s="17">
        <f t="shared" si="52"/>
        <v>0</v>
      </c>
      <c r="F161" s="6">
        <v>1.4E-2</v>
      </c>
      <c r="H161" s="19">
        <f t="shared" si="50"/>
        <v>3</v>
      </c>
      <c r="I161" s="8">
        <f t="shared" si="53"/>
        <v>0.03</v>
      </c>
      <c r="J161" s="34"/>
      <c r="K161" s="8">
        <f t="shared" si="54"/>
        <v>0</v>
      </c>
      <c r="L161" s="34"/>
      <c r="M161" s="39"/>
    </row>
    <row r="162" spans="1:13" x14ac:dyDescent="0.15">
      <c r="A162" s="15">
        <v>4</v>
      </c>
      <c r="B162" s="15">
        <v>0</v>
      </c>
      <c r="C162" s="16">
        <v>0</v>
      </c>
      <c r="D162" s="17">
        <f t="shared" si="51"/>
        <v>-4</v>
      </c>
      <c r="E162" s="17">
        <f t="shared" si="52"/>
        <v>0</v>
      </c>
      <c r="F162" s="6">
        <v>1.4E-2</v>
      </c>
      <c r="H162" s="19">
        <f t="shared" si="50"/>
        <v>4</v>
      </c>
      <c r="I162" s="8">
        <f t="shared" si="53"/>
        <v>0.04</v>
      </c>
      <c r="J162" s="34"/>
      <c r="K162" s="8">
        <f t="shared" si="54"/>
        <v>0</v>
      </c>
      <c r="L162" s="34"/>
      <c r="M162" s="39"/>
    </row>
    <row r="163" spans="1:13" x14ac:dyDescent="0.15">
      <c r="A163" s="15">
        <v>5</v>
      </c>
      <c r="B163" s="15">
        <v>0</v>
      </c>
      <c r="C163" s="16">
        <v>0</v>
      </c>
      <c r="D163" s="17">
        <f t="shared" si="51"/>
        <v>-5</v>
      </c>
      <c r="E163" s="17">
        <f t="shared" si="52"/>
        <v>0</v>
      </c>
      <c r="F163" s="6">
        <v>1.4E-2</v>
      </c>
      <c r="H163" s="19">
        <f t="shared" si="50"/>
        <v>5</v>
      </c>
      <c r="I163" s="8">
        <f t="shared" si="53"/>
        <v>0.05</v>
      </c>
      <c r="J163" s="34"/>
      <c r="K163" s="8">
        <f t="shared" si="54"/>
        <v>0</v>
      </c>
      <c r="L163" s="34"/>
      <c r="M163" s="39"/>
    </row>
    <row r="164" spans="1:13" x14ac:dyDescent="0.15">
      <c r="A164" s="15">
        <v>6</v>
      </c>
      <c r="B164" s="15">
        <v>0</v>
      </c>
      <c r="C164" s="16">
        <v>0</v>
      </c>
      <c r="D164" s="17">
        <f t="shared" si="51"/>
        <v>-6</v>
      </c>
      <c r="E164" s="17">
        <f t="shared" si="52"/>
        <v>0</v>
      </c>
      <c r="F164" s="6">
        <v>1.4E-2</v>
      </c>
      <c r="H164" s="19">
        <f t="shared" si="50"/>
        <v>6</v>
      </c>
      <c r="I164" s="8">
        <f t="shared" si="53"/>
        <v>0.06</v>
      </c>
      <c r="J164" s="34"/>
      <c r="K164" s="8">
        <f t="shared" si="54"/>
        <v>0</v>
      </c>
      <c r="L164" s="34"/>
      <c r="M164" s="39"/>
    </row>
    <row r="165" spans="1:13" x14ac:dyDescent="0.15">
      <c r="A165" s="15">
        <v>7</v>
      </c>
      <c r="B165" s="15">
        <v>0</v>
      </c>
      <c r="C165" s="16">
        <v>0</v>
      </c>
      <c r="D165" s="17">
        <f t="shared" si="51"/>
        <v>-7</v>
      </c>
      <c r="E165" s="17">
        <f t="shared" si="52"/>
        <v>0</v>
      </c>
      <c r="F165" s="6">
        <v>1.4E-2</v>
      </c>
      <c r="H165" s="19">
        <f t="shared" si="50"/>
        <v>7</v>
      </c>
      <c r="I165" s="8">
        <f t="shared" si="53"/>
        <v>7.0000000000000007E-2</v>
      </c>
      <c r="J165" s="34"/>
      <c r="K165" s="8">
        <f t="shared" si="54"/>
        <v>0</v>
      </c>
      <c r="L165" s="34"/>
      <c r="M165" s="39"/>
    </row>
    <row r="166" spans="1:13" x14ac:dyDescent="0.15">
      <c r="A166" s="15">
        <v>8</v>
      </c>
      <c r="B166" s="15">
        <v>0</v>
      </c>
      <c r="C166" s="16">
        <v>0</v>
      </c>
      <c r="D166" s="17">
        <f t="shared" si="51"/>
        <v>-8</v>
      </c>
      <c r="E166" s="17">
        <f t="shared" si="52"/>
        <v>0</v>
      </c>
      <c r="F166" s="6">
        <v>1.4E-2</v>
      </c>
      <c r="H166" s="19">
        <f t="shared" si="50"/>
        <v>8</v>
      </c>
      <c r="I166" s="8">
        <f t="shared" si="53"/>
        <v>0.08</v>
      </c>
      <c r="J166" s="34"/>
      <c r="K166" s="8">
        <f t="shared" si="54"/>
        <v>0</v>
      </c>
      <c r="L166" s="34"/>
      <c r="M166" s="39"/>
    </row>
    <row r="167" spans="1:13" x14ac:dyDescent="0.15">
      <c r="A167" s="15">
        <v>9</v>
      </c>
      <c r="B167" s="15">
        <v>0</v>
      </c>
      <c r="C167" s="16">
        <v>0</v>
      </c>
      <c r="D167" s="17">
        <f t="shared" si="51"/>
        <v>-9</v>
      </c>
      <c r="E167" s="17">
        <f t="shared" si="52"/>
        <v>0</v>
      </c>
      <c r="F167" s="6">
        <v>1.4E-2</v>
      </c>
      <c r="H167" s="19">
        <f t="shared" si="50"/>
        <v>9</v>
      </c>
      <c r="I167" s="8">
        <f t="shared" si="53"/>
        <v>0.09</v>
      </c>
      <c r="J167" s="34"/>
      <c r="K167" s="8">
        <f t="shared" si="54"/>
        <v>0</v>
      </c>
      <c r="L167" s="34"/>
      <c r="M167" s="39"/>
    </row>
    <row r="168" spans="1:13" x14ac:dyDescent="0.15">
      <c r="A168" s="15">
        <v>10</v>
      </c>
      <c r="B168" s="15">
        <v>0</v>
      </c>
      <c r="C168" s="16">
        <v>0</v>
      </c>
      <c r="D168" s="17">
        <f t="shared" si="51"/>
        <v>-10</v>
      </c>
      <c r="E168" s="17">
        <f t="shared" si="52"/>
        <v>0</v>
      </c>
      <c r="F168" s="6">
        <v>1.4E-2</v>
      </c>
      <c r="H168" s="19">
        <f t="shared" si="50"/>
        <v>10</v>
      </c>
      <c r="I168" s="8">
        <f t="shared" si="53"/>
        <v>0.1</v>
      </c>
      <c r="J168" s="34"/>
      <c r="K168" s="8">
        <f t="shared" si="54"/>
        <v>0</v>
      </c>
      <c r="L168" s="34"/>
      <c r="M168" s="39"/>
    </row>
    <row r="169" spans="1:13" x14ac:dyDescent="0.15">
      <c r="A169" s="15">
        <v>11</v>
      </c>
      <c r="B169" s="15">
        <v>0</v>
      </c>
      <c r="C169" s="16">
        <v>0</v>
      </c>
      <c r="D169" s="17">
        <f t="shared" si="51"/>
        <v>-11</v>
      </c>
      <c r="E169" s="17">
        <f t="shared" si="52"/>
        <v>0</v>
      </c>
      <c r="F169" s="6">
        <v>1.4E-2</v>
      </c>
      <c r="H169" s="19">
        <f t="shared" si="50"/>
        <v>11</v>
      </c>
      <c r="I169" s="8">
        <f t="shared" si="53"/>
        <v>0.11</v>
      </c>
      <c r="J169" s="34"/>
      <c r="K169" s="8">
        <f t="shared" si="54"/>
        <v>0</v>
      </c>
      <c r="L169" s="34"/>
      <c r="M169" s="39"/>
    </row>
    <row r="171" spans="1:13" x14ac:dyDescent="0.15">
      <c r="A171" s="21" t="s">
        <v>33</v>
      </c>
      <c r="B171" s="7" t="s">
        <v>12</v>
      </c>
      <c r="C171" s="12"/>
      <c r="D171" s="12" t="s">
        <v>22</v>
      </c>
      <c r="E171" s="25" t="str">
        <f>$M$5</f>
        <v>psi</v>
      </c>
      <c r="F171" s="20"/>
      <c r="H171" s="21" t="s">
        <v>33</v>
      </c>
      <c r="I171" s="7" t="str">
        <f>B171</f>
        <v>CH12</v>
      </c>
      <c r="J171" s="4"/>
      <c r="K171" s="26"/>
      <c r="L171" s="7"/>
      <c r="M171" s="7"/>
    </row>
    <row r="172" spans="1:13" ht="15" customHeight="1" x14ac:dyDescent="0.15">
      <c r="A172" s="28" t="s">
        <v>26</v>
      </c>
      <c r="B172" s="28" t="s">
        <v>31</v>
      </c>
      <c r="C172" s="28"/>
      <c r="D172" s="29" t="s">
        <v>35</v>
      </c>
      <c r="E172" s="29" t="s">
        <v>36</v>
      </c>
      <c r="F172" s="28" t="s">
        <v>32</v>
      </c>
      <c r="H172" s="23" t="s">
        <v>26</v>
      </c>
      <c r="I172" s="35" t="s">
        <v>39</v>
      </c>
      <c r="J172" s="28" t="s">
        <v>17</v>
      </c>
      <c r="K172" s="38" t="s">
        <v>40</v>
      </c>
      <c r="L172" s="28" t="s">
        <v>17</v>
      </c>
      <c r="M172" s="28" t="s">
        <v>41</v>
      </c>
    </row>
    <row r="173" spans="1:13" x14ac:dyDescent="0.15">
      <c r="A173" s="28"/>
      <c r="B173" s="22" t="s">
        <v>30</v>
      </c>
      <c r="C173" s="22" t="s">
        <v>34</v>
      </c>
      <c r="D173" s="30"/>
      <c r="E173" s="30"/>
      <c r="F173" s="28"/>
      <c r="H173" s="24" t="str">
        <f>"（"&amp;$M$5&amp;"）"</f>
        <v>（psi）</v>
      </c>
      <c r="I173" s="36"/>
      <c r="J173" s="28"/>
      <c r="K173" s="28"/>
      <c r="L173" s="28"/>
      <c r="M173" s="28"/>
    </row>
    <row r="174" spans="1:13" x14ac:dyDescent="0.15">
      <c r="A174" s="15">
        <v>1</v>
      </c>
      <c r="B174" s="15">
        <v>0</v>
      </c>
      <c r="C174" s="16">
        <v>0</v>
      </c>
      <c r="D174" s="17">
        <f>IF(ABS(B174-A174)&gt;ABS(C174-A174),B174-A174,C174-A174)</f>
        <v>-1</v>
      </c>
      <c r="E174" s="17">
        <f>ABS(B174-C174)</f>
        <v>0</v>
      </c>
      <c r="F174" s="6">
        <v>1.4E-2</v>
      </c>
      <c r="H174" s="18">
        <f t="shared" ref="H174:H184" si="55">A174</f>
        <v>1</v>
      </c>
      <c r="I174" s="8">
        <f>ABS(D174)/($M$6-$K$6)</f>
        <v>0.01</v>
      </c>
      <c r="J174" s="34">
        <f>MAX(I174:I184)</f>
        <v>0.11</v>
      </c>
      <c r="K174" s="8">
        <f>ABS(E174)/($M$6-$K$6)</f>
        <v>0</v>
      </c>
      <c r="L174" s="34">
        <f>MAX(K174:K184)</f>
        <v>0</v>
      </c>
      <c r="M174" s="39"/>
    </row>
    <row r="175" spans="1:13" x14ac:dyDescent="0.15">
      <c r="A175" s="15">
        <v>2</v>
      </c>
      <c r="B175" s="15">
        <v>0</v>
      </c>
      <c r="C175" s="16">
        <v>0</v>
      </c>
      <c r="D175" s="17">
        <f t="shared" ref="D175:D184" si="56">IF(ABS(B175-A175)&gt;ABS(C175-A175),B175-A175,C175-A175)</f>
        <v>-2</v>
      </c>
      <c r="E175" s="17">
        <f t="shared" ref="E175:E184" si="57">ABS(B175-C175)</f>
        <v>0</v>
      </c>
      <c r="F175" s="6">
        <v>1.4E-2</v>
      </c>
      <c r="H175" s="19">
        <f t="shared" si="55"/>
        <v>2</v>
      </c>
      <c r="I175" s="8">
        <f t="shared" ref="I175:I184" si="58">ABS(D175)/($M$6-$K$6)</f>
        <v>0.02</v>
      </c>
      <c r="J175" s="34"/>
      <c r="K175" s="8">
        <f t="shared" ref="K175:K184" si="59">ABS(E175)/($M$6-$K$6)</f>
        <v>0</v>
      </c>
      <c r="L175" s="34"/>
      <c r="M175" s="39"/>
    </row>
    <row r="176" spans="1:13" x14ac:dyDescent="0.15">
      <c r="A176" s="15">
        <v>3</v>
      </c>
      <c r="B176" s="15">
        <v>0</v>
      </c>
      <c r="C176" s="16">
        <v>0</v>
      </c>
      <c r="D176" s="17">
        <f t="shared" si="56"/>
        <v>-3</v>
      </c>
      <c r="E176" s="17">
        <f t="shared" si="57"/>
        <v>0</v>
      </c>
      <c r="F176" s="6">
        <v>1.4E-2</v>
      </c>
      <c r="H176" s="19">
        <f t="shared" si="55"/>
        <v>3</v>
      </c>
      <c r="I176" s="8">
        <f t="shared" si="58"/>
        <v>0.03</v>
      </c>
      <c r="J176" s="34"/>
      <c r="K176" s="8">
        <f t="shared" si="59"/>
        <v>0</v>
      </c>
      <c r="L176" s="34"/>
      <c r="M176" s="39"/>
    </row>
    <row r="177" spans="1:13" x14ac:dyDescent="0.15">
      <c r="A177" s="15">
        <v>4</v>
      </c>
      <c r="B177" s="15">
        <v>0</v>
      </c>
      <c r="C177" s="16">
        <v>0</v>
      </c>
      <c r="D177" s="17">
        <f t="shared" si="56"/>
        <v>-4</v>
      </c>
      <c r="E177" s="17">
        <f t="shared" si="57"/>
        <v>0</v>
      </c>
      <c r="F177" s="6">
        <v>1.4E-2</v>
      </c>
      <c r="H177" s="19">
        <f t="shared" si="55"/>
        <v>4</v>
      </c>
      <c r="I177" s="8">
        <f t="shared" si="58"/>
        <v>0.04</v>
      </c>
      <c r="J177" s="34"/>
      <c r="K177" s="8">
        <f t="shared" si="59"/>
        <v>0</v>
      </c>
      <c r="L177" s="34"/>
      <c r="M177" s="39"/>
    </row>
    <row r="178" spans="1:13" x14ac:dyDescent="0.15">
      <c r="A178" s="15">
        <v>5</v>
      </c>
      <c r="B178" s="15">
        <v>0</v>
      </c>
      <c r="C178" s="16">
        <v>0</v>
      </c>
      <c r="D178" s="17">
        <f t="shared" si="56"/>
        <v>-5</v>
      </c>
      <c r="E178" s="17">
        <f t="shared" si="57"/>
        <v>0</v>
      </c>
      <c r="F178" s="6">
        <v>1.4E-2</v>
      </c>
      <c r="H178" s="19">
        <f t="shared" si="55"/>
        <v>5</v>
      </c>
      <c r="I178" s="8">
        <f t="shared" si="58"/>
        <v>0.05</v>
      </c>
      <c r="J178" s="34"/>
      <c r="K178" s="8">
        <f t="shared" si="59"/>
        <v>0</v>
      </c>
      <c r="L178" s="34"/>
      <c r="M178" s="39"/>
    </row>
    <row r="179" spans="1:13" x14ac:dyDescent="0.15">
      <c r="A179" s="15">
        <v>6</v>
      </c>
      <c r="B179" s="15">
        <v>0</v>
      </c>
      <c r="C179" s="16">
        <v>0</v>
      </c>
      <c r="D179" s="17">
        <f t="shared" si="56"/>
        <v>-6</v>
      </c>
      <c r="E179" s="17">
        <f t="shared" si="57"/>
        <v>0</v>
      </c>
      <c r="F179" s="6">
        <v>1.4E-2</v>
      </c>
      <c r="H179" s="19">
        <f t="shared" si="55"/>
        <v>6</v>
      </c>
      <c r="I179" s="8">
        <f t="shared" si="58"/>
        <v>0.06</v>
      </c>
      <c r="J179" s="34"/>
      <c r="K179" s="8">
        <f t="shared" si="59"/>
        <v>0</v>
      </c>
      <c r="L179" s="34"/>
      <c r="M179" s="39"/>
    </row>
    <row r="180" spans="1:13" x14ac:dyDescent="0.15">
      <c r="A180" s="15">
        <v>7</v>
      </c>
      <c r="B180" s="15">
        <v>0</v>
      </c>
      <c r="C180" s="16">
        <v>0</v>
      </c>
      <c r="D180" s="17">
        <f t="shared" si="56"/>
        <v>-7</v>
      </c>
      <c r="E180" s="17">
        <f t="shared" si="57"/>
        <v>0</v>
      </c>
      <c r="F180" s="6">
        <v>1.4E-2</v>
      </c>
      <c r="H180" s="19">
        <f t="shared" si="55"/>
        <v>7</v>
      </c>
      <c r="I180" s="8">
        <f t="shared" si="58"/>
        <v>7.0000000000000007E-2</v>
      </c>
      <c r="J180" s="34"/>
      <c r="K180" s="8">
        <f t="shared" si="59"/>
        <v>0</v>
      </c>
      <c r="L180" s="34"/>
      <c r="M180" s="39"/>
    </row>
    <row r="181" spans="1:13" x14ac:dyDescent="0.15">
      <c r="A181" s="15">
        <v>8</v>
      </c>
      <c r="B181" s="15">
        <v>0</v>
      </c>
      <c r="C181" s="16">
        <v>0</v>
      </c>
      <c r="D181" s="17">
        <f t="shared" si="56"/>
        <v>-8</v>
      </c>
      <c r="E181" s="17">
        <f t="shared" si="57"/>
        <v>0</v>
      </c>
      <c r="F181" s="6">
        <v>1.4E-2</v>
      </c>
      <c r="H181" s="19">
        <f t="shared" si="55"/>
        <v>8</v>
      </c>
      <c r="I181" s="8">
        <f t="shared" si="58"/>
        <v>0.08</v>
      </c>
      <c r="J181" s="34"/>
      <c r="K181" s="8">
        <f t="shared" si="59"/>
        <v>0</v>
      </c>
      <c r="L181" s="34"/>
      <c r="M181" s="39"/>
    </row>
    <row r="182" spans="1:13" x14ac:dyDescent="0.15">
      <c r="A182" s="15">
        <v>9</v>
      </c>
      <c r="B182" s="15">
        <v>0</v>
      </c>
      <c r="C182" s="16">
        <v>0</v>
      </c>
      <c r="D182" s="17">
        <f t="shared" si="56"/>
        <v>-9</v>
      </c>
      <c r="E182" s="17">
        <f t="shared" si="57"/>
        <v>0</v>
      </c>
      <c r="F182" s="6">
        <v>1.4E-2</v>
      </c>
      <c r="H182" s="19">
        <f t="shared" si="55"/>
        <v>9</v>
      </c>
      <c r="I182" s="8">
        <f t="shared" si="58"/>
        <v>0.09</v>
      </c>
      <c r="J182" s="34"/>
      <c r="K182" s="8">
        <f t="shared" si="59"/>
        <v>0</v>
      </c>
      <c r="L182" s="34"/>
      <c r="M182" s="39"/>
    </row>
    <row r="183" spans="1:13" x14ac:dyDescent="0.15">
      <c r="A183" s="15">
        <v>10</v>
      </c>
      <c r="B183" s="15">
        <v>0</v>
      </c>
      <c r="C183" s="16">
        <v>0</v>
      </c>
      <c r="D183" s="17">
        <f t="shared" si="56"/>
        <v>-10</v>
      </c>
      <c r="E183" s="17">
        <f t="shared" si="57"/>
        <v>0</v>
      </c>
      <c r="F183" s="6">
        <v>1.4E-2</v>
      </c>
      <c r="H183" s="19">
        <f t="shared" si="55"/>
        <v>10</v>
      </c>
      <c r="I183" s="8">
        <f t="shared" si="58"/>
        <v>0.1</v>
      </c>
      <c r="J183" s="34"/>
      <c r="K183" s="8">
        <f t="shared" si="59"/>
        <v>0</v>
      </c>
      <c r="L183" s="34"/>
      <c r="M183" s="39"/>
    </row>
    <row r="184" spans="1:13" x14ac:dyDescent="0.15">
      <c r="A184" s="15">
        <v>11</v>
      </c>
      <c r="B184" s="15">
        <v>0</v>
      </c>
      <c r="C184" s="16">
        <v>0</v>
      </c>
      <c r="D184" s="17">
        <f t="shared" si="56"/>
        <v>-11</v>
      </c>
      <c r="E184" s="17">
        <f t="shared" si="57"/>
        <v>0</v>
      </c>
      <c r="F184" s="6">
        <v>1.4E-2</v>
      </c>
      <c r="H184" s="19">
        <f t="shared" si="55"/>
        <v>11</v>
      </c>
      <c r="I184" s="8">
        <f t="shared" si="58"/>
        <v>0.11</v>
      </c>
      <c r="J184" s="34"/>
      <c r="K184" s="8">
        <f t="shared" si="59"/>
        <v>0</v>
      </c>
      <c r="L184" s="34"/>
      <c r="M184" s="39"/>
    </row>
    <row r="186" spans="1:13" x14ac:dyDescent="0.15">
      <c r="A186" s="21" t="s">
        <v>33</v>
      </c>
      <c r="B186" s="7" t="s">
        <v>13</v>
      </c>
      <c r="C186" s="12"/>
      <c r="D186" s="12" t="s">
        <v>22</v>
      </c>
      <c r="E186" s="25" t="str">
        <f>$M$5</f>
        <v>psi</v>
      </c>
      <c r="F186" s="20"/>
      <c r="H186" s="21" t="s">
        <v>33</v>
      </c>
      <c r="I186" s="7" t="str">
        <f>B186</f>
        <v>CH13</v>
      </c>
      <c r="J186" s="4"/>
      <c r="K186" s="26"/>
      <c r="L186" s="7"/>
      <c r="M186" s="7"/>
    </row>
    <row r="187" spans="1:13" ht="15" customHeight="1" x14ac:dyDescent="0.15">
      <c r="A187" s="28" t="s">
        <v>26</v>
      </c>
      <c r="B187" s="28" t="s">
        <v>31</v>
      </c>
      <c r="C187" s="28"/>
      <c r="D187" s="29" t="s">
        <v>35</v>
      </c>
      <c r="E187" s="29" t="s">
        <v>36</v>
      </c>
      <c r="F187" s="28" t="s">
        <v>32</v>
      </c>
      <c r="H187" s="23" t="s">
        <v>26</v>
      </c>
      <c r="I187" s="35" t="s">
        <v>39</v>
      </c>
      <c r="J187" s="28" t="s">
        <v>17</v>
      </c>
      <c r="K187" s="38" t="s">
        <v>40</v>
      </c>
      <c r="L187" s="28" t="s">
        <v>17</v>
      </c>
      <c r="M187" s="28" t="s">
        <v>41</v>
      </c>
    </row>
    <row r="188" spans="1:13" x14ac:dyDescent="0.15">
      <c r="A188" s="28"/>
      <c r="B188" s="22" t="s">
        <v>30</v>
      </c>
      <c r="C188" s="22" t="s">
        <v>34</v>
      </c>
      <c r="D188" s="30"/>
      <c r="E188" s="30"/>
      <c r="F188" s="28"/>
      <c r="H188" s="24" t="str">
        <f>"（"&amp;$M$5&amp;"）"</f>
        <v>（psi）</v>
      </c>
      <c r="I188" s="36"/>
      <c r="J188" s="28"/>
      <c r="K188" s="28"/>
      <c r="L188" s="28"/>
      <c r="M188" s="28"/>
    </row>
    <row r="189" spans="1:13" x14ac:dyDescent="0.15">
      <c r="A189" s="15">
        <v>1</v>
      </c>
      <c r="B189" s="15">
        <v>0</v>
      </c>
      <c r="C189" s="16">
        <v>0</v>
      </c>
      <c r="D189" s="17">
        <f>IF(ABS(B189-A189)&gt;ABS(C189-A189),B189-A189,C189-A189)</f>
        <v>-1</v>
      </c>
      <c r="E189" s="17">
        <f>ABS(B189-C189)</f>
        <v>0</v>
      </c>
      <c r="F189" s="6">
        <v>1.4E-2</v>
      </c>
      <c r="H189" s="18">
        <f t="shared" ref="H189:H199" si="60">A189</f>
        <v>1</v>
      </c>
      <c r="I189" s="8">
        <f>ABS(D189)/($M$6-$K$6)</f>
        <v>0.01</v>
      </c>
      <c r="J189" s="34">
        <f>MAX(I189:I199)</f>
        <v>0.11</v>
      </c>
      <c r="K189" s="8">
        <f>ABS(E189)/($M$6-$K$6)</f>
        <v>0</v>
      </c>
      <c r="L189" s="34">
        <f>MAX(K189:K199)</f>
        <v>0</v>
      </c>
      <c r="M189" s="39"/>
    </row>
    <row r="190" spans="1:13" x14ac:dyDescent="0.15">
      <c r="A190" s="15">
        <v>2</v>
      </c>
      <c r="B190" s="15">
        <v>0</v>
      </c>
      <c r="C190" s="16">
        <v>0</v>
      </c>
      <c r="D190" s="17">
        <f t="shared" ref="D190:D199" si="61">IF(ABS(B190-A190)&gt;ABS(C190-A190),B190-A190,C190-A190)</f>
        <v>-2</v>
      </c>
      <c r="E190" s="17">
        <f t="shared" ref="E190:E199" si="62">ABS(B190-C190)</f>
        <v>0</v>
      </c>
      <c r="F190" s="6">
        <v>1.4E-2</v>
      </c>
      <c r="H190" s="19">
        <f t="shared" si="60"/>
        <v>2</v>
      </c>
      <c r="I190" s="8">
        <f t="shared" ref="I190:I199" si="63">ABS(D190)/($M$6-$K$6)</f>
        <v>0.02</v>
      </c>
      <c r="J190" s="34"/>
      <c r="K190" s="8">
        <f t="shared" ref="K190:K199" si="64">ABS(E190)/($M$6-$K$6)</f>
        <v>0</v>
      </c>
      <c r="L190" s="34"/>
      <c r="M190" s="39"/>
    </row>
    <row r="191" spans="1:13" x14ac:dyDescent="0.15">
      <c r="A191" s="15">
        <v>3</v>
      </c>
      <c r="B191" s="15">
        <v>0</v>
      </c>
      <c r="C191" s="16">
        <v>0</v>
      </c>
      <c r="D191" s="17">
        <f t="shared" si="61"/>
        <v>-3</v>
      </c>
      <c r="E191" s="17">
        <f t="shared" si="62"/>
        <v>0</v>
      </c>
      <c r="F191" s="6">
        <v>1.4E-2</v>
      </c>
      <c r="H191" s="19">
        <f t="shared" si="60"/>
        <v>3</v>
      </c>
      <c r="I191" s="8">
        <f t="shared" si="63"/>
        <v>0.03</v>
      </c>
      <c r="J191" s="34"/>
      <c r="K191" s="8">
        <f t="shared" si="64"/>
        <v>0</v>
      </c>
      <c r="L191" s="34"/>
      <c r="M191" s="39"/>
    </row>
    <row r="192" spans="1:13" x14ac:dyDescent="0.15">
      <c r="A192" s="15">
        <v>4</v>
      </c>
      <c r="B192" s="15">
        <v>0</v>
      </c>
      <c r="C192" s="16">
        <v>0</v>
      </c>
      <c r="D192" s="17">
        <f t="shared" si="61"/>
        <v>-4</v>
      </c>
      <c r="E192" s="17">
        <f t="shared" si="62"/>
        <v>0</v>
      </c>
      <c r="F192" s="6">
        <v>1.4E-2</v>
      </c>
      <c r="H192" s="19">
        <f t="shared" si="60"/>
        <v>4</v>
      </c>
      <c r="I192" s="8">
        <f t="shared" si="63"/>
        <v>0.04</v>
      </c>
      <c r="J192" s="34"/>
      <c r="K192" s="8">
        <f t="shared" si="64"/>
        <v>0</v>
      </c>
      <c r="L192" s="34"/>
      <c r="M192" s="39"/>
    </row>
    <row r="193" spans="1:13" x14ac:dyDescent="0.15">
      <c r="A193" s="15">
        <v>5</v>
      </c>
      <c r="B193" s="15">
        <v>0</v>
      </c>
      <c r="C193" s="16">
        <v>0</v>
      </c>
      <c r="D193" s="17">
        <f t="shared" si="61"/>
        <v>-5</v>
      </c>
      <c r="E193" s="17">
        <f t="shared" si="62"/>
        <v>0</v>
      </c>
      <c r="F193" s="6">
        <v>1.4E-2</v>
      </c>
      <c r="H193" s="19">
        <f t="shared" si="60"/>
        <v>5</v>
      </c>
      <c r="I193" s="8">
        <f t="shared" si="63"/>
        <v>0.05</v>
      </c>
      <c r="J193" s="34"/>
      <c r="K193" s="8">
        <f t="shared" si="64"/>
        <v>0</v>
      </c>
      <c r="L193" s="34"/>
      <c r="M193" s="39"/>
    </row>
    <row r="194" spans="1:13" x14ac:dyDescent="0.15">
      <c r="A194" s="15">
        <v>6</v>
      </c>
      <c r="B194" s="15">
        <v>0</v>
      </c>
      <c r="C194" s="16">
        <v>0</v>
      </c>
      <c r="D194" s="17">
        <f t="shared" si="61"/>
        <v>-6</v>
      </c>
      <c r="E194" s="17">
        <f t="shared" si="62"/>
        <v>0</v>
      </c>
      <c r="F194" s="6">
        <v>1.4E-2</v>
      </c>
      <c r="H194" s="19">
        <f t="shared" si="60"/>
        <v>6</v>
      </c>
      <c r="I194" s="8">
        <f t="shared" si="63"/>
        <v>0.06</v>
      </c>
      <c r="J194" s="34"/>
      <c r="K194" s="8">
        <f t="shared" si="64"/>
        <v>0</v>
      </c>
      <c r="L194" s="34"/>
      <c r="M194" s="39"/>
    </row>
    <row r="195" spans="1:13" x14ac:dyDescent="0.15">
      <c r="A195" s="15">
        <v>7</v>
      </c>
      <c r="B195" s="15">
        <v>0</v>
      </c>
      <c r="C195" s="16">
        <v>0</v>
      </c>
      <c r="D195" s="17">
        <f t="shared" si="61"/>
        <v>-7</v>
      </c>
      <c r="E195" s="17">
        <f t="shared" si="62"/>
        <v>0</v>
      </c>
      <c r="F195" s="6">
        <v>1.4E-2</v>
      </c>
      <c r="H195" s="19">
        <f t="shared" si="60"/>
        <v>7</v>
      </c>
      <c r="I195" s="8">
        <f t="shared" si="63"/>
        <v>7.0000000000000007E-2</v>
      </c>
      <c r="J195" s="34"/>
      <c r="K195" s="8">
        <f t="shared" si="64"/>
        <v>0</v>
      </c>
      <c r="L195" s="34"/>
      <c r="M195" s="39"/>
    </row>
    <row r="196" spans="1:13" x14ac:dyDescent="0.15">
      <c r="A196" s="15">
        <v>8</v>
      </c>
      <c r="B196" s="15">
        <v>0</v>
      </c>
      <c r="C196" s="16">
        <v>0</v>
      </c>
      <c r="D196" s="17">
        <f t="shared" si="61"/>
        <v>-8</v>
      </c>
      <c r="E196" s="17">
        <f t="shared" si="62"/>
        <v>0</v>
      </c>
      <c r="F196" s="6">
        <v>1.4E-2</v>
      </c>
      <c r="H196" s="19">
        <f t="shared" si="60"/>
        <v>8</v>
      </c>
      <c r="I196" s="8">
        <f t="shared" si="63"/>
        <v>0.08</v>
      </c>
      <c r="J196" s="34"/>
      <c r="K196" s="8">
        <f t="shared" si="64"/>
        <v>0</v>
      </c>
      <c r="L196" s="34"/>
      <c r="M196" s="39"/>
    </row>
    <row r="197" spans="1:13" x14ac:dyDescent="0.15">
      <c r="A197" s="15">
        <v>9</v>
      </c>
      <c r="B197" s="15">
        <v>0</v>
      </c>
      <c r="C197" s="16">
        <v>0</v>
      </c>
      <c r="D197" s="17">
        <f t="shared" si="61"/>
        <v>-9</v>
      </c>
      <c r="E197" s="17">
        <f t="shared" si="62"/>
        <v>0</v>
      </c>
      <c r="F197" s="6">
        <v>1.4E-2</v>
      </c>
      <c r="H197" s="19">
        <f t="shared" si="60"/>
        <v>9</v>
      </c>
      <c r="I197" s="8">
        <f t="shared" si="63"/>
        <v>0.09</v>
      </c>
      <c r="J197" s="34"/>
      <c r="K197" s="8">
        <f t="shared" si="64"/>
        <v>0</v>
      </c>
      <c r="L197" s="34"/>
      <c r="M197" s="39"/>
    </row>
    <row r="198" spans="1:13" x14ac:dyDescent="0.15">
      <c r="A198" s="15">
        <v>10</v>
      </c>
      <c r="B198" s="15">
        <v>0</v>
      </c>
      <c r="C198" s="16">
        <v>0</v>
      </c>
      <c r="D198" s="17">
        <f t="shared" si="61"/>
        <v>-10</v>
      </c>
      <c r="E198" s="17">
        <f t="shared" si="62"/>
        <v>0</v>
      </c>
      <c r="F198" s="6">
        <v>1.4E-2</v>
      </c>
      <c r="H198" s="19">
        <f t="shared" si="60"/>
        <v>10</v>
      </c>
      <c r="I198" s="8">
        <f t="shared" si="63"/>
        <v>0.1</v>
      </c>
      <c r="J198" s="34"/>
      <c r="K198" s="8">
        <f t="shared" si="64"/>
        <v>0</v>
      </c>
      <c r="L198" s="34"/>
      <c r="M198" s="39"/>
    </row>
    <row r="199" spans="1:13" x14ac:dyDescent="0.15">
      <c r="A199" s="15">
        <v>11</v>
      </c>
      <c r="B199" s="15">
        <v>0</v>
      </c>
      <c r="C199" s="16">
        <v>0</v>
      </c>
      <c r="D199" s="17">
        <f t="shared" si="61"/>
        <v>-11</v>
      </c>
      <c r="E199" s="17">
        <f t="shared" si="62"/>
        <v>0</v>
      </c>
      <c r="F199" s="6">
        <v>1.4E-2</v>
      </c>
      <c r="H199" s="19">
        <f t="shared" si="60"/>
        <v>11</v>
      </c>
      <c r="I199" s="8">
        <f t="shared" si="63"/>
        <v>0.11</v>
      </c>
      <c r="J199" s="34"/>
      <c r="K199" s="8">
        <f t="shared" si="64"/>
        <v>0</v>
      </c>
      <c r="L199" s="34"/>
      <c r="M199" s="39"/>
    </row>
    <row r="201" spans="1:13" x14ac:dyDescent="0.15">
      <c r="A201" s="21" t="s">
        <v>33</v>
      </c>
      <c r="B201" s="7" t="s">
        <v>14</v>
      </c>
      <c r="C201" s="12"/>
      <c r="D201" s="12" t="s">
        <v>22</v>
      </c>
      <c r="E201" s="25" t="str">
        <f>$M$5</f>
        <v>psi</v>
      </c>
      <c r="F201" s="20"/>
      <c r="H201" s="21" t="s">
        <v>33</v>
      </c>
      <c r="I201" s="7" t="str">
        <f>B201</f>
        <v>CH14</v>
      </c>
      <c r="J201" s="4"/>
      <c r="K201" s="26"/>
      <c r="L201" s="7"/>
      <c r="M201" s="7"/>
    </row>
    <row r="202" spans="1:13" ht="15" customHeight="1" x14ac:dyDescent="0.15">
      <c r="A202" s="28" t="s">
        <v>26</v>
      </c>
      <c r="B202" s="28" t="s">
        <v>31</v>
      </c>
      <c r="C202" s="28"/>
      <c r="D202" s="29" t="s">
        <v>35</v>
      </c>
      <c r="E202" s="29" t="s">
        <v>36</v>
      </c>
      <c r="F202" s="28" t="s">
        <v>32</v>
      </c>
      <c r="H202" s="23" t="s">
        <v>26</v>
      </c>
      <c r="I202" s="35" t="s">
        <v>39</v>
      </c>
      <c r="J202" s="28" t="s">
        <v>17</v>
      </c>
      <c r="K202" s="38" t="s">
        <v>40</v>
      </c>
      <c r="L202" s="28" t="s">
        <v>17</v>
      </c>
      <c r="M202" s="28" t="s">
        <v>41</v>
      </c>
    </row>
    <row r="203" spans="1:13" x14ac:dyDescent="0.15">
      <c r="A203" s="28"/>
      <c r="B203" s="22" t="s">
        <v>30</v>
      </c>
      <c r="C203" s="22" t="s">
        <v>34</v>
      </c>
      <c r="D203" s="30"/>
      <c r="E203" s="30"/>
      <c r="F203" s="28"/>
      <c r="H203" s="24" t="str">
        <f>"（"&amp;$M$5&amp;"）"</f>
        <v>（psi）</v>
      </c>
      <c r="I203" s="36"/>
      <c r="J203" s="28"/>
      <c r="K203" s="28"/>
      <c r="L203" s="28"/>
      <c r="M203" s="28"/>
    </row>
    <row r="204" spans="1:13" x14ac:dyDescent="0.15">
      <c r="A204" s="15">
        <v>1</v>
      </c>
      <c r="B204" s="15">
        <v>0</v>
      </c>
      <c r="C204" s="16">
        <v>0</v>
      </c>
      <c r="D204" s="17">
        <f>IF(ABS(B204-A204)&gt;ABS(C204-A204),B204-A204,C204-A204)</f>
        <v>-1</v>
      </c>
      <c r="E204" s="17">
        <f>ABS(B204-C204)</f>
        <v>0</v>
      </c>
      <c r="F204" s="6">
        <v>1.4E-2</v>
      </c>
      <c r="H204" s="18">
        <f t="shared" ref="H204:H214" si="65">A204</f>
        <v>1</v>
      </c>
      <c r="I204" s="8">
        <f>ABS(D204)/($M$6-$K$6)</f>
        <v>0.01</v>
      </c>
      <c r="J204" s="34">
        <f>MAX(I204:I214)</f>
        <v>0.11</v>
      </c>
      <c r="K204" s="8">
        <f>ABS(E204)/($M$6-$K$6)</f>
        <v>0</v>
      </c>
      <c r="L204" s="34">
        <f>MAX(K204:K214)</f>
        <v>0</v>
      </c>
      <c r="M204" s="39"/>
    </row>
    <row r="205" spans="1:13" x14ac:dyDescent="0.15">
      <c r="A205" s="15">
        <v>2</v>
      </c>
      <c r="B205" s="15">
        <v>0</v>
      </c>
      <c r="C205" s="16">
        <v>0</v>
      </c>
      <c r="D205" s="17">
        <f t="shared" ref="D205:D214" si="66">IF(ABS(B205-A205)&gt;ABS(C205-A205),B205-A205,C205-A205)</f>
        <v>-2</v>
      </c>
      <c r="E205" s="17">
        <f t="shared" ref="E205:E214" si="67">ABS(B205-C205)</f>
        <v>0</v>
      </c>
      <c r="F205" s="6">
        <v>1.4E-2</v>
      </c>
      <c r="H205" s="19">
        <f t="shared" si="65"/>
        <v>2</v>
      </c>
      <c r="I205" s="8">
        <f t="shared" ref="I205:I214" si="68">ABS(D205)/($M$6-$K$6)</f>
        <v>0.02</v>
      </c>
      <c r="J205" s="34"/>
      <c r="K205" s="8">
        <f t="shared" ref="K205:K214" si="69">ABS(E205)/($M$6-$K$6)</f>
        <v>0</v>
      </c>
      <c r="L205" s="34"/>
      <c r="M205" s="39"/>
    </row>
    <row r="206" spans="1:13" x14ac:dyDescent="0.15">
      <c r="A206" s="15">
        <v>3</v>
      </c>
      <c r="B206" s="15">
        <v>0</v>
      </c>
      <c r="C206" s="16">
        <v>0</v>
      </c>
      <c r="D206" s="17">
        <f t="shared" si="66"/>
        <v>-3</v>
      </c>
      <c r="E206" s="17">
        <f t="shared" si="67"/>
        <v>0</v>
      </c>
      <c r="F206" s="6">
        <v>1.4E-2</v>
      </c>
      <c r="H206" s="19">
        <f t="shared" si="65"/>
        <v>3</v>
      </c>
      <c r="I206" s="8">
        <f t="shared" si="68"/>
        <v>0.03</v>
      </c>
      <c r="J206" s="34"/>
      <c r="K206" s="8">
        <f t="shared" si="69"/>
        <v>0</v>
      </c>
      <c r="L206" s="34"/>
      <c r="M206" s="39"/>
    </row>
    <row r="207" spans="1:13" x14ac:dyDescent="0.15">
      <c r="A207" s="15">
        <v>4</v>
      </c>
      <c r="B207" s="15">
        <v>0</v>
      </c>
      <c r="C207" s="16">
        <v>0</v>
      </c>
      <c r="D207" s="17">
        <f t="shared" si="66"/>
        <v>-4</v>
      </c>
      <c r="E207" s="17">
        <f t="shared" si="67"/>
        <v>0</v>
      </c>
      <c r="F207" s="6">
        <v>1.4E-2</v>
      </c>
      <c r="H207" s="19">
        <f t="shared" si="65"/>
        <v>4</v>
      </c>
      <c r="I207" s="8">
        <f t="shared" si="68"/>
        <v>0.04</v>
      </c>
      <c r="J207" s="34"/>
      <c r="K207" s="8">
        <f t="shared" si="69"/>
        <v>0</v>
      </c>
      <c r="L207" s="34"/>
      <c r="M207" s="39"/>
    </row>
    <row r="208" spans="1:13" x14ac:dyDescent="0.15">
      <c r="A208" s="15">
        <v>5</v>
      </c>
      <c r="B208" s="15">
        <v>0</v>
      </c>
      <c r="C208" s="16">
        <v>0</v>
      </c>
      <c r="D208" s="17">
        <f t="shared" si="66"/>
        <v>-5</v>
      </c>
      <c r="E208" s="17">
        <f t="shared" si="67"/>
        <v>0</v>
      </c>
      <c r="F208" s="6">
        <v>1.4E-2</v>
      </c>
      <c r="H208" s="19">
        <f t="shared" si="65"/>
        <v>5</v>
      </c>
      <c r="I208" s="8">
        <f t="shared" si="68"/>
        <v>0.05</v>
      </c>
      <c r="J208" s="34"/>
      <c r="K208" s="8">
        <f t="shared" si="69"/>
        <v>0</v>
      </c>
      <c r="L208" s="34"/>
      <c r="M208" s="39"/>
    </row>
    <row r="209" spans="1:13" x14ac:dyDescent="0.15">
      <c r="A209" s="15">
        <v>6</v>
      </c>
      <c r="B209" s="15">
        <v>0</v>
      </c>
      <c r="C209" s="16">
        <v>0</v>
      </c>
      <c r="D209" s="17">
        <f t="shared" si="66"/>
        <v>-6</v>
      </c>
      <c r="E209" s="17">
        <f t="shared" si="67"/>
        <v>0</v>
      </c>
      <c r="F209" s="6">
        <v>1.4E-2</v>
      </c>
      <c r="H209" s="19">
        <f t="shared" si="65"/>
        <v>6</v>
      </c>
      <c r="I209" s="8">
        <f t="shared" si="68"/>
        <v>0.06</v>
      </c>
      <c r="J209" s="34"/>
      <c r="K209" s="8">
        <f t="shared" si="69"/>
        <v>0</v>
      </c>
      <c r="L209" s="34"/>
      <c r="M209" s="39"/>
    </row>
    <row r="210" spans="1:13" x14ac:dyDescent="0.15">
      <c r="A210" s="15">
        <v>7</v>
      </c>
      <c r="B210" s="15">
        <v>0</v>
      </c>
      <c r="C210" s="16">
        <v>0</v>
      </c>
      <c r="D210" s="17">
        <f t="shared" si="66"/>
        <v>-7</v>
      </c>
      <c r="E210" s="17">
        <f t="shared" si="67"/>
        <v>0</v>
      </c>
      <c r="F210" s="6">
        <v>1.4E-2</v>
      </c>
      <c r="H210" s="19">
        <f t="shared" si="65"/>
        <v>7</v>
      </c>
      <c r="I210" s="8">
        <f t="shared" si="68"/>
        <v>7.0000000000000007E-2</v>
      </c>
      <c r="J210" s="34"/>
      <c r="K210" s="8">
        <f t="shared" si="69"/>
        <v>0</v>
      </c>
      <c r="L210" s="34"/>
      <c r="M210" s="39"/>
    </row>
    <row r="211" spans="1:13" x14ac:dyDescent="0.15">
      <c r="A211" s="15">
        <v>8</v>
      </c>
      <c r="B211" s="15">
        <v>0</v>
      </c>
      <c r="C211" s="16">
        <v>0</v>
      </c>
      <c r="D211" s="17">
        <f t="shared" si="66"/>
        <v>-8</v>
      </c>
      <c r="E211" s="17">
        <f t="shared" si="67"/>
        <v>0</v>
      </c>
      <c r="F211" s="6">
        <v>1.4E-2</v>
      </c>
      <c r="H211" s="19">
        <f t="shared" si="65"/>
        <v>8</v>
      </c>
      <c r="I211" s="8">
        <f t="shared" si="68"/>
        <v>0.08</v>
      </c>
      <c r="J211" s="34"/>
      <c r="K211" s="8">
        <f t="shared" si="69"/>
        <v>0</v>
      </c>
      <c r="L211" s="34"/>
      <c r="M211" s="39"/>
    </row>
    <row r="212" spans="1:13" x14ac:dyDescent="0.15">
      <c r="A212" s="15">
        <v>9</v>
      </c>
      <c r="B212" s="15">
        <v>0</v>
      </c>
      <c r="C212" s="16">
        <v>0</v>
      </c>
      <c r="D212" s="17">
        <f t="shared" si="66"/>
        <v>-9</v>
      </c>
      <c r="E212" s="17">
        <f t="shared" si="67"/>
        <v>0</v>
      </c>
      <c r="F212" s="6">
        <v>1.4E-2</v>
      </c>
      <c r="H212" s="19">
        <f t="shared" si="65"/>
        <v>9</v>
      </c>
      <c r="I212" s="8">
        <f t="shared" si="68"/>
        <v>0.09</v>
      </c>
      <c r="J212" s="34"/>
      <c r="K212" s="8">
        <f t="shared" si="69"/>
        <v>0</v>
      </c>
      <c r="L212" s="34"/>
      <c r="M212" s="39"/>
    </row>
    <row r="213" spans="1:13" x14ac:dyDescent="0.15">
      <c r="A213" s="15">
        <v>10</v>
      </c>
      <c r="B213" s="15">
        <v>0</v>
      </c>
      <c r="C213" s="16">
        <v>0</v>
      </c>
      <c r="D213" s="17">
        <f t="shared" si="66"/>
        <v>-10</v>
      </c>
      <c r="E213" s="17">
        <f t="shared" si="67"/>
        <v>0</v>
      </c>
      <c r="F213" s="6">
        <v>1.4E-2</v>
      </c>
      <c r="H213" s="19">
        <f t="shared" si="65"/>
        <v>10</v>
      </c>
      <c r="I213" s="8">
        <f t="shared" si="68"/>
        <v>0.1</v>
      </c>
      <c r="J213" s="34"/>
      <c r="K213" s="8">
        <f t="shared" si="69"/>
        <v>0</v>
      </c>
      <c r="L213" s="34"/>
      <c r="M213" s="39"/>
    </row>
    <row r="214" spans="1:13" x14ac:dyDescent="0.15">
      <c r="A214" s="15">
        <v>11</v>
      </c>
      <c r="B214" s="15">
        <v>0</v>
      </c>
      <c r="C214" s="16">
        <v>0</v>
      </c>
      <c r="D214" s="17">
        <f t="shared" si="66"/>
        <v>-11</v>
      </c>
      <c r="E214" s="17">
        <f t="shared" si="67"/>
        <v>0</v>
      </c>
      <c r="F214" s="6">
        <v>1.4E-2</v>
      </c>
      <c r="H214" s="19">
        <f t="shared" si="65"/>
        <v>11</v>
      </c>
      <c r="I214" s="8">
        <f t="shared" si="68"/>
        <v>0.11</v>
      </c>
      <c r="J214" s="34"/>
      <c r="K214" s="8">
        <f t="shared" si="69"/>
        <v>0</v>
      </c>
      <c r="L214" s="34"/>
      <c r="M214" s="39"/>
    </row>
    <row r="216" spans="1:13" x14ac:dyDescent="0.15">
      <c r="A216" s="21" t="s">
        <v>33</v>
      </c>
      <c r="B216" s="7" t="s">
        <v>15</v>
      </c>
      <c r="C216" s="12"/>
      <c r="D216" s="12" t="s">
        <v>22</v>
      </c>
      <c r="E216" s="25" t="str">
        <f>$M$5</f>
        <v>psi</v>
      </c>
      <c r="F216" s="20"/>
      <c r="H216" s="21" t="s">
        <v>33</v>
      </c>
      <c r="I216" s="7" t="str">
        <f>B216</f>
        <v>CH15</v>
      </c>
      <c r="J216" s="4"/>
      <c r="K216" s="26"/>
      <c r="L216" s="7"/>
      <c r="M216" s="7"/>
    </row>
    <row r="217" spans="1:13" ht="15" customHeight="1" x14ac:dyDescent="0.15">
      <c r="A217" s="28" t="s">
        <v>26</v>
      </c>
      <c r="B217" s="28" t="s">
        <v>31</v>
      </c>
      <c r="C217" s="28"/>
      <c r="D217" s="29" t="s">
        <v>35</v>
      </c>
      <c r="E217" s="29" t="s">
        <v>36</v>
      </c>
      <c r="F217" s="28" t="s">
        <v>32</v>
      </c>
      <c r="H217" s="23" t="s">
        <v>26</v>
      </c>
      <c r="I217" s="35" t="s">
        <v>39</v>
      </c>
      <c r="J217" s="28" t="s">
        <v>17</v>
      </c>
      <c r="K217" s="38" t="s">
        <v>40</v>
      </c>
      <c r="L217" s="28" t="s">
        <v>17</v>
      </c>
      <c r="M217" s="28" t="s">
        <v>41</v>
      </c>
    </row>
    <row r="218" spans="1:13" x14ac:dyDescent="0.15">
      <c r="A218" s="28"/>
      <c r="B218" s="22" t="s">
        <v>30</v>
      </c>
      <c r="C218" s="22" t="s">
        <v>34</v>
      </c>
      <c r="D218" s="30"/>
      <c r="E218" s="30"/>
      <c r="F218" s="28"/>
      <c r="H218" s="24" t="str">
        <f>"（"&amp;$M$5&amp;"）"</f>
        <v>（psi）</v>
      </c>
      <c r="I218" s="36"/>
      <c r="J218" s="28"/>
      <c r="K218" s="28"/>
      <c r="L218" s="28"/>
      <c r="M218" s="28"/>
    </row>
    <row r="219" spans="1:13" x14ac:dyDescent="0.15">
      <c r="A219" s="15">
        <v>1</v>
      </c>
      <c r="B219" s="15">
        <v>0</v>
      </c>
      <c r="C219" s="16">
        <v>0</v>
      </c>
      <c r="D219" s="17">
        <f>IF(ABS(B219-A219)&gt;ABS(C219-A219),B219-A219,C219-A219)</f>
        <v>-1</v>
      </c>
      <c r="E219" s="17">
        <f>ABS(B219-C219)</f>
        <v>0</v>
      </c>
      <c r="F219" s="6">
        <v>1.4E-2</v>
      </c>
      <c r="H219" s="18">
        <f t="shared" ref="H219:H229" si="70">A219</f>
        <v>1</v>
      </c>
      <c r="I219" s="8">
        <f>ABS(D219)/($M$6-$K$6)</f>
        <v>0.01</v>
      </c>
      <c r="J219" s="34">
        <f>MAX(I219:I229)</f>
        <v>0.11</v>
      </c>
      <c r="K219" s="8">
        <f>ABS(E219)/($M$6-$K$6)</f>
        <v>0</v>
      </c>
      <c r="L219" s="34">
        <f>MAX(K219:K229)</f>
        <v>0</v>
      </c>
      <c r="M219" s="39"/>
    </row>
    <row r="220" spans="1:13" x14ac:dyDescent="0.15">
      <c r="A220" s="15">
        <v>2</v>
      </c>
      <c r="B220" s="15">
        <v>0</v>
      </c>
      <c r="C220" s="16">
        <v>0</v>
      </c>
      <c r="D220" s="17">
        <f t="shared" ref="D220:D229" si="71">IF(ABS(B220-A220)&gt;ABS(C220-A220),B220-A220,C220-A220)</f>
        <v>-2</v>
      </c>
      <c r="E220" s="17">
        <f t="shared" ref="E220:E229" si="72">ABS(B220-C220)</f>
        <v>0</v>
      </c>
      <c r="F220" s="6">
        <v>1.4E-2</v>
      </c>
      <c r="H220" s="19">
        <f t="shared" si="70"/>
        <v>2</v>
      </c>
      <c r="I220" s="8">
        <f t="shared" ref="I220:I229" si="73">ABS(D220)/($M$6-$K$6)</f>
        <v>0.02</v>
      </c>
      <c r="J220" s="34"/>
      <c r="K220" s="8">
        <f t="shared" ref="K220:K229" si="74">ABS(E220)/($M$6-$K$6)</f>
        <v>0</v>
      </c>
      <c r="L220" s="34"/>
      <c r="M220" s="39"/>
    </row>
    <row r="221" spans="1:13" x14ac:dyDescent="0.15">
      <c r="A221" s="15">
        <v>3</v>
      </c>
      <c r="B221" s="15">
        <v>0</v>
      </c>
      <c r="C221" s="16">
        <v>0</v>
      </c>
      <c r="D221" s="17">
        <f t="shared" si="71"/>
        <v>-3</v>
      </c>
      <c r="E221" s="17">
        <f t="shared" si="72"/>
        <v>0</v>
      </c>
      <c r="F221" s="6">
        <v>1.4E-2</v>
      </c>
      <c r="H221" s="19">
        <f t="shared" si="70"/>
        <v>3</v>
      </c>
      <c r="I221" s="8">
        <f t="shared" si="73"/>
        <v>0.03</v>
      </c>
      <c r="J221" s="34"/>
      <c r="K221" s="8">
        <f t="shared" si="74"/>
        <v>0</v>
      </c>
      <c r="L221" s="34"/>
      <c r="M221" s="39"/>
    </row>
    <row r="222" spans="1:13" x14ac:dyDescent="0.15">
      <c r="A222" s="15">
        <v>4</v>
      </c>
      <c r="B222" s="15">
        <v>0</v>
      </c>
      <c r="C222" s="16">
        <v>0</v>
      </c>
      <c r="D222" s="17">
        <f t="shared" si="71"/>
        <v>-4</v>
      </c>
      <c r="E222" s="17">
        <f t="shared" si="72"/>
        <v>0</v>
      </c>
      <c r="F222" s="6">
        <v>1.4E-2</v>
      </c>
      <c r="H222" s="19">
        <f t="shared" si="70"/>
        <v>4</v>
      </c>
      <c r="I222" s="8">
        <f t="shared" si="73"/>
        <v>0.04</v>
      </c>
      <c r="J222" s="34"/>
      <c r="K222" s="8">
        <f t="shared" si="74"/>
        <v>0</v>
      </c>
      <c r="L222" s="34"/>
      <c r="M222" s="39"/>
    </row>
    <row r="223" spans="1:13" x14ac:dyDescent="0.15">
      <c r="A223" s="15">
        <v>5</v>
      </c>
      <c r="B223" s="15">
        <v>0</v>
      </c>
      <c r="C223" s="16">
        <v>0</v>
      </c>
      <c r="D223" s="17">
        <f t="shared" si="71"/>
        <v>-5</v>
      </c>
      <c r="E223" s="17">
        <f t="shared" si="72"/>
        <v>0</v>
      </c>
      <c r="F223" s="6">
        <v>1.4E-2</v>
      </c>
      <c r="H223" s="19">
        <f t="shared" si="70"/>
        <v>5</v>
      </c>
      <c r="I223" s="8">
        <f t="shared" si="73"/>
        <v>0.05</v>
      </c>
      <c r="J223" s="34"/>
      <c r="K223" s="8">
        <f t="shared" si="74"/>
        <v>0</v>
      </c>
      <c r="L223" s="34"/>
      <c r="M223" s="39"/>
    </row>
    <row r="224" spans="1:13" x14ac:dyDescent="0.15">
      <c r="A224" s="15">
        <v>6</v>
      </c>
      <c r="B224" s="15">
        <v>0</v>
      </c>
      <c r="C224" s="16">
        <v>0</v>
      </c>
      <c r="D224" s="17">
        <f t="shared" si="71"/>
        <v>-6</v>
      </c>
      <c r="E224" s="17">
        <f t="shared" si="72"/>
        <v>0</v>
      </c>
      <c r="F224" s="6">
        <v>1.4E-2</v>
      </c>
      <c r="H224" s="19">
        <f t="shared" si="70"/>
        <v>6</v>
      </c>
      <c r="I224" s="8">
        <f t="shared" si="73"/>
        <v>0.06</v>
      </c>
      <c r="J224" s="34"/>
      <c r="K224" s="8">
        <f t="shared" si="74"/>
        <v>0</v>
      </c>
      <c r="L224" s="34"/>
      <c r="M224" s="39"/>
    </row>
    <row r="225" spans="1:13" x14ac:dyDescent="0.15">
      <c r="A225" s="15">
        <v>7</v>
      </c>
      <c r="B225" s="15">
        <v>0</v>
      </c>
      <c r="C225" s="16">
        <v>0</v>
      </c>
      <c r="D225" s="17">
        <f t="shared" si="71"/>
        <v>-7</v>
      </c>
      <c r="E225" s="17">
        <f t="shared" si="72"/>
        <v>0</v>
      </c>
      <c r="F225" s="6">
        <v>1.4E-2</v>
      </c>
      <c r="H225" s="19">
        <f t="shared" si="70"/>
        <v>7</v>
      </c>
      <c r="I225" s="8">
        <f t="shared" si="73"/>
        <v>7.0000000000000007E-2</v>
      </c>
      <c r="J225" s="34"/>
      <c r="K225" s="8">
        <f t="shared" si="74"/>
        <v>0</v>
      </c>
      <c r="L225" s="34"/>
      <c r="M225" s="39"/>
    </row>
    <row r="226" spans="1:13" x14ac:dyDescent="0.15">
      <c r="A226" s="15">
        <v>8</v>
      </c>
      <c r="B226" s="15">
        <v>0</v>
      </c>
      <c r="C226" s="16">
        <v>0</v>
      </c>
      <c r="D226" s="17">
        <f t="shared" si="71"/>
        <v>-8</v>
      </c>
      <c r="E226" s="17">
        <f t="shared" si="72"/>
        <v>0</v>
      </c>
      <c r="F226" s="6">
        <v>1.4E-2</v>
      </c>
      <c r="H226" s="19">
        <f t="shared" si="70"/>
        <v>8</v>
      </c>
      <c r="I226" s="8">
        <f t="shared" si="73"/>
        <v>0.08</v>
      </c>
      <c r="J226" s="34"/>
      <c r="K226" s="8">
        <f t="shared" si="74"/>
        <v>0</v>
      </c>
      <c r="L226" s="34"/>
      <c r="M226" s="39"/>
    </row>
    <row r="227" spans="1:13" x14ac:dyDescent="0.15">
      <c r="A227" s="15">
        <v>9</v>
      </c>
      <c r="B227" s="15">
        <v>0</v>
      </c>
      <c r="C227" s="16">
        <v>0</v>
      </c>
      <c r="D227" s="17">
        <f t="shared" si="71"/>
        <v>-9</v>
      </c>
      <c r="E227" s="17">
        <f t="shared" si="72"/>
        <v>0</v>
      </c>
      <c r="F227" s="6">
        <v>1.4E-2</v>
      </c>
      <c r="H227" s="19">
        <f t="shared" si="70"/>
        <v>9</v>
      </c>
      <c r="I227" s="8">
        <f t="shared" si="73"/>
        <v>0.09</v>
      </c>
      <c r="J227" s="34"/>
      <c r="K227" s="8">
        <f t="shared" si="74"/>
        <v>0</v>
      </c>
      <c r="L227" s="34"/>
      <c r="M227" s="39"/>
    </row>
    <row r="228" spans="1:13" x14ac:dyDescent="0.15">
      <c r="A228" s="15">
        <v>10</v>
      </c>
      <c r="B228" s="15">
        <v>0</v>
      </c>
      <c r="C228" s="16">
        <v>0</v>
      </c>
      <c r="D228" s="17">
        <f t="shared" si="71"/>
        <v>-10</v>
      </c>
      <c r="E228" s="17">
        <f t="shared" si="72"/>
        <v>0</v>
      </c>
      <c r="F228" s="6">
        <v>1.4E-2</v>
      </c>
      <c r="H228" s="19">
        <f t="shared" si="70"/>
        <v>10</v>
      </c>
      <c r="I228" s="8">
        <f t="shared" si="73"/>
        <v>0.1</v>
      </c>
      <c r="J228" s="34"/>
      <c r="K228" s="8">
        <f t="shared" si="74"/>
        <v>0</v>
      </c>
      <c r="L228" s="34"/>
      <c r="M228" s="39"/>
    </row>
    <row r="229" spans="1:13" x14ac:dyDescent="0.15">
      <c r="A229" s="15">
        <v>11</v>
      </c>
      <c r="B229" s="15">
        <v>0</v>
      </c>
      <c r="C229" s="16">
        <v>0</v>
      </c>
      <c r="D229" s="17">
        <f t="shared" si="71"/>
        <v>-11</v>
      </c>
      <c r="E229" s="17">
        <f t="shared" si="72"/>
        <v>0</v>
      </c>
      <c r="F229" s="6">
        <v>1.4E-2</v>
      </c>
      <c r="H229" s="19">
        <f t="shared" si="70"/>
        <v>11</v>
      </c>
      <c r="I229" s="8">
        <f t="shared" si="73"/>
        <v>0.11</v>
      </c>
      <c r="J229" s="34"/>
      <c r="K229" s="8">
        <f t="shared" si="74"/>
        <v>0</v>
      </c>
      <c r="L229" s="34"/>
      <c r="M229" s="39"/>
    </row>
    <row r="231" spans="1:13" x14ac:dyDescent="0.15">
      <c r="A231" s="21" t="s">
        <v>33</v>
      </c>
      <c r="B231" s="7" t="s">
        <v>16</v>
      </c>
      <c r="C231" s="12"/>
      <c r="D231" s="12" t="s">
        <v>22</v>
      </c>
      <c r="E231" s="25" t="str">
        <f>$M$5</f>
        <v>psi</v>
      </c>
      <c r="F231" s="20"/>
      <c r="H231" s="21" t="s">
        <v>33</v>
      </c>
      <c r="I231" s="7" t="str">
        <f>B231</f>
        <v>CH16</v>
      </c>
      <c r="J231" s="4"/>
      <c r="K231" s="26"/>
      <c r="L231" s="7"/>
      <c r="M231" s="7"/>
    </row>
    <row r="232" spans="1:13" ht="15" customHeight="1" x14ac:dyDescent="0.15">
      <c r="A232" s="28" t="s">
        <v>26</v>
      </c>
      <c r="B232" s="28" t="s">
        <v>31</v>
      </c>
      <c r="C232" s="28"/>
      <c r="D232" s="29" t="s">
        <v>35</v>
      </c>
      <c r="E232" s="29" t="s">
        <v>36</v>
      </c>
      <c r="F232" s="28" t="s">
        <v>32</v>
      </c>
      <c r="H232" s="23" t="s">
        <v>26</v>
      </c>
      <c r="I232" s="35" t="s">
        <v>39</v>
      </c>
      <c r="J232" s="28" t="s">
        <v>17</v>
      </c>
      <c r="K232" s="38" t="s">
        <v>40</v>
      </c>
      <c r="L232" s="28" t="s">
        <v>17</v>
      </c>
      <c r="M232" s="28" t="s">
        <v>41</v>
      </c>
    </row>
    <row r="233" spans="1:13" x14ac:dyDescent="0.15">
      <c r="A233" s="28"/>
      <c r="B233" s="22" t="s">
        <v>30</v>
      </c>
      <c r="C233" s="22" t="s">
        <v>34</v>
      </c>
      <c r="D233" s="30"/>
      <c r="E233" s="30"/>
      <c r="F233" s="28"/>
      <c r="H233" s="24" t="str">
        <f>"（"&amp;$M$5&amp;"）"</f>
        <v>（psi）</v>
      </c>
      <c r="I233" s="36"/>
      <c r="J233" s="28"/>
      <c r="K233" s="28"/>
      <c r="L233" s="28"/>
      <c r="M233" s="28"/>
    </row>
    <row r="234" spans="1:13" x14ac:dyDescent="0.15">
      <c r="A234" s="15">
        <v>1</v>
      </c>
      <c r="B234" s="15">
        <v>0</v>
      </c>
      <c r="C234" s="16">
        <v>0</v>
      </c>
      <c r="D234" s="17">
        <f>IF(ABS(B234-A234)&gt;ABS(C234-A234),B234-A234,C234-A234)</f>
        <v>-1</v>
      </c>
      <c r="E234" s="17">
        <f>ABS(B234-C234)</f>
        <v>0</v>
      </c>
      <c r="F234" s="6">
        <v>1.4E-2</v>
      </c>
      <c r="H234" s="18">
        <f t="shared" ref="H234:H244" si="75">A234</f>
        <v>1</v>
      </c>
      <c r="I234" s="8">
        <f>ABS(D234)/($M$6-$K$6)</f>
        <v>0.01</v>
      </c>
      <c r="J234" s="34">
        <f>MAX(I234:I244)</f>
        <v>0.11</v>
      </c>
      <c r="K234" s="8">
        <f>ABS(E234)/($M$6-$K$6)</f>
        <v>0</v>
      </c>
      <c r="L234" s="34">
        <f>MAX(K234:K244)</f>
        <v>0</v>
      </c>
      <c r="M234" s="39"/>
    </row>
    <row r="235" spans="1:13" x14ac:dyDescent="0.15">
      <c r="A235" s="15">
        <v>2</v>
      </c>
      <c r="B235" s="15">
        <v>0</v>
      </c>
      <c r="C235" s="16">
        <v>0</v>
      </c>
      <c r="D235" s="17">
        <f t="shared" ref="D235:D244" si="76">IF(ABS(B235-A235)&gt;ABS(C235-A235),B235-A235,C235-A235)</f>
        <v>-2</v>
      </c>
      <c r="E235" s="17">
        <f t="shared" ref="E235:E244" si="77">ABS(B235-C235)</f>
        <v>0</v>
      </c>
      <c r="F235" s="6">
        <v>1.4E-2</v>
      </c>
      <c r="H235" s="19">
        <f t="shared" si="75"/>
        <v>2</v>
      </c>
      <c r="I235" s="8">
        <f t="shared" ref="I235:I244" si="78">ABS(D235)/($M$6-$K$6)</f>
        <v>0.02</v>
      </c>
      <c r="J235" s="34"/>
      <c r="K235" s="8">
        <f t="shared" ref="K235:K244" si="79">ABS(E235)/($M$6-$K$6)</f>
        <v>0</v>
      </c>
      <c r="L235" s="34"/>
      <c r="M235" s="39"/>
    </row>
    <row r="236" spans="1:13" x14ac:dyDescent="0.15">
      <c r="A236" s="15">
        <v>3</v>
      </c>
      <c r="B236" s="15">
        <v>0</v>
      </c>
      <c r="C236" s="16">
        <v>0</v>
      </c>
      <c r="D236" s="17">
        <f t="shared" si="76"/>
        <v>-3</v>
      </c>
      <c r="E236" s="17">
        <f t="shared" si="77"/>
        <v>0</v>
      </c>
      <c r="F236" s="6">
        <v>1.4E-2</v>
      </c>
      <c r="H236" s="19">
        <f t="shared" si="75"/>
        <v>3</v>
      </c>
      <c r="I236" s="8">
        <f t="shared" si="78"/>
        <v>0.03</v>
      </c>
      <c r="J236" s="34"/>
      <c r="K236" s="8">
        <f t="shared" si="79"/>
        <v>0</v>
      </c>
      <c r="L236" s="34"/>
      <c r="M236" s="39"/>
    </row>
    <row r="237" spans="1:13" x14ac:dyDescent="0.15">
      <c r="A237" s="15">
        <v>4</v>
      </c>
      <c r="B237" s="15">
        <v>0</v>
      </c>
      <c r="C237" s="16">
        <v>0</v>
      </c>
      <c r="D237" s="17">
        <f t="shared" si="76"/>
        <v>-4</v>
      </c>
      <c r="E237" s="17">
        <f t="shared" si="77"/>
        <v>0</v>
      </c>
      <c r="F237" s="6">
        <v>1.4E-2</v>
      </c>
      <c r="H237" s="19">
        <f t="shared" si="75"/>
        <v>4</v>
      </c>
      <c r="I237" s="8">
        <f t="shared" si="78"/>
        <v>0.04</v>
      </c>
      <c r="J237" s="34"/>
      <c r="K237" s="8">
        <f t="shared" si="79"/>
        <v>0</v>
      </c>
      <c r="L237" s="34"/>
      <c r="M237" s="39"/>
    </row>
    <row r="238" spans="1:13" x14ac:dyDescent="0.15">
      <c r="A238" s="15">
        <v>5</v>
      </c>
      <c r="B238" s="15">
        <v>0</v>
      </c>
      <c r="C238" s="16">
        <v>0</v>
      </c>
      <c r="D238" s="17">
        <f t="shared" si="76"/>
        <v>-5</v>
      </c>
      <c r="E238" s="17">
        <f t="shared" si="77"/>
        <v>0</v>
      </c>
      <c r="F238" s="6">
        <v>1.4E-2</v>
      </c>
      <c r="H238" s="19">
        <f t="shared" si="75"/>
        <v>5</v>
      </c>
      <c r="I238" s="8">
        <f t="shared" si="78"/>
        <v>0.05</v>
      </c>
      <c r="J238" s="34"/>
      <c r="K238" s="8">
        <f t="shared" si="79"/>
        <v>0</v>
      </c>
      <c r="L238" s="34"/>
      <c r="M238" s="39"/>
    </row>
    <row r="239" spans="1:13" x14ac:dyDescent="0.15">
      <c r="A239" s="15">
        <v>6</v>
      </c>
      <c r="B239" s="15">
        <v>0</v>
      </c>
      <c r="C239" s="16">
        <v>0</v>
      </c>
      <c r="D239" s="17">
        <f t="shared" si="76"/>
        <v>-6</v>
      </c>
      <c r="E239" s="17">
        <f t="shared" si="77"/>
        <v>0</v>
      </c>
      <c r="F239" s="6">
        <v>1.4E-2</v>
      </c>
      <c r="H239" s="19">
        <f t="shared" si="75"/>
        <v>6</v>
      </c>
      <c r="I239" s="8">
        <f t="shared" si="78"/>
        <v>0.06</v>
      </c>
      <c r="J239" s="34"/>
      <c r="K239" s="8">
        <f t="shared" si="79"/>
        <v>0</v>
      </c>
      <c r="L239" s="34"/>
      <c r="M239" s="39"/>
    </row>
    <row r="240" spans="1:13" x14ac:dyDescent="0.15">
      <c r="A240" s="15">
        <v>7</v>
      </c>
      <c r="B240" s="15">
        <v>0</v>
      </c>
      <c r="C240" s="16">
        <v>0</v>
      </c>
      <c r="D240" s="17">
        <f t="shared" si="76"/>
        <v>-7</v>
      </c>
      <c r="E240" s="17">
        <f t="shared" si="77"/>
        <v>0</v>
      </c>
      <c r="F240" s="6">
        <v>1.4E-2</v>
      </c>
      <c r="H240" s="19">
        <f t="shared" si="75"/>
        <v>7</v>
      </c>
      <c r="I240" s="8">
        <f t="shared" si="78"/>
        <v>7.0000000000000007E-2</v>
      </c>
      <c r="J240" s="34"/>
      <c r="K240" s="8">
        <f t="shared" si="79"/>
        <v>0</v>
      </c>
      <c r="L240" s="34"/>
      <c r="M240" s="39"/>
    </row>
    <row r="241" spans="1:13" x14ac:dyDescent="0.15">
      <c r="A241" s="15">
        <v>8</v>
      </c>
      <c r="B241" s="15">
        <v>0</v>
      </c>
      <c r="C241" s="16">
        <v>0</v>
      </c>
      <c r="D241" s="17">
        <f t="shared" si="76"/>
        <v>-8</v>
      </c>
      <c r="E241" s="17">
        <f t="shared" si="77"/>
        <v>0</v>
      </c>
      <c r="F241" s="6">
        <v>1.4E-2</v>
      </c>
      <c r="H241" s="19">
        <f t="shared" si="75"/>
        <v>8</v>
      </c>
      <c r="I241" s="8">
        <f t="shared" si="78"/>
        <v>0.08</v>
      </c>
      <c r="J241" s="34"/>
      <c r="K241" s="8">
        <f t="shared" si="79"/>
        <v>0</v>
      </c>
      <c r="L241" s="34"/>
      <c r="M241" s="39"/>
    </row>
    <row r="242" spans="1:13" x14ac:dyDescent="0.15">
      <c r="A242" s="15">
        <v>9</v>
      </c>
      <c r="B242" s="15">
        <v>0</v>
      </c>
      <c r="C242" s="16">
        <v>0</v>
      </c>
      <c r="D242" s="17">
        <f t="shared" si="76"/>
        <v>-9</v>
      </c>
      <c r="E242" s="17">
        <f t="shared" si="77"/>
        <v>0</v>
      </c>
      <c r="F242" s="6">
        <v>1.4E-2</v>
      </c>
      <c r="H242" s="19">
        <f t="shared" si="75"/>
        <v>9</v>
      </c>
      <c r="I242" s="8">
        <f t="shared" si="78"/>
        <v>0.09</v>
      </c>
      <c r="J242" s="34"/>
      <c r="K242" s="8">
        <f t="shared" si="79"/>
        <v>0</v>
      </c>
      <c r="L242" s="34"/>
      <c r="M242" s="39"/>
    </row>
    <row r="243" spans="1:13" x14ac:dyDescent="0.15">
      <c r="A243" s="15">
        <v>10</v>
      </c>
      <c r="B243" s="15">
        <v>0</v>
      </c>
      <c r="C243" s="16">
        <v>0</v>
      </c>
      <c r="D243" s="17">
        <f t="shared" si="76"/>
        <v>-10</v>
      </c>
      <c r="E243" s="17">
        <f t="shared" si="77"/>
        <v>0</v>
      </c>
      <c r="F243" s="6">
        <v>1.4E-2</v>
      </c>
      <c r="H243" s="19">
        <f t="shared" si="75"/>
        <v>10</v>
      </c>
      <c r="I243" s="8">
        <f t="shared" si="78"/>
        <v>0.1</v>
      </c>
      <c r="J243" s="34"/>
      <c r="K243" s="8">
        <f t="shared" si="79"/>
        <v>0</v>
      </c>
      <c r="L243" s="34"/>
      <c r="M243" s="39"/>
    </row>
    <row r="244" spans="1:13" x14ac:dyDescent="0.15">
      <c r="A244" s="15">
        <v>11</v>
      </c>
      <c r="B244" s="15">
        <v>0</v>
      </c>
      <c r="C244" s="16">
        <v>0</v>
      </c>
      <c r="D244" s="17">
        <f t="shared" si="76"/>
        <v>-11</v>
      </c>
      <c r="E244" s="17">
        <f t="shared" si="77"/>
        <v>0</v>
      </c>
      <c r="F244" s="6">
        <v>1.4E-2</v>
      </c>
      <c r="H244" s="19">
        <f t="shared" si="75"/>
        <v>11</v>
      </c>
      <c r="I244" s="8">
        <f t="shared" si="78"/>
        <v>0.11</v>
      </c>
      <c r="J244" s="34"/>
      <c r="K244" s="8">
        <f t="shared" si="79"/>
        <v>0</v>
      </c>
      <c r="L244" s="34"/>
      <c r="M244" s="39"/>
    </row>
    <row r="248" spans="1:13" x14ac:dyDescent="0.15">
      <c r="C248" s="42"/>
      <c r="D248" s="42"/>
    </row>
    <row r="249" spans="1:13" x14ac:dyDescent="0.15">
      <c r="A249" s="41" t="s">
        <v>0</v>
      </c>
      <c r="B249" s="41"/>
      <c r="C249" s="41"/>
      <c r="D249" s="41"/>
      <c r="E249" s="41"/>
      <c r="F249" s="41"/>
      <c r="G249" s="27"/>
      <c r="H249" s="27"/>
    </row>
  </sheetData>
  <mergeCells count="216">
    <mergeCell ref="A249:F249"/>
    <mergeCell ref="C248:D248"/>
    <mergeCell ref="M219:M229"/>
    <mergeCell ref="I232:I233"/>
    <mergeCell ref="J232:J233"/>
    <mergeCell ref="K232:K233"/>
    <mergeCell ref="L232:L233"/>
    <mergeCell ref="M232:M233"/>
    <mergeCell ref="J234:J244"/>
    <mergeCell ref="L234:L244"/>
    <mergeCell ref="M234:M244"/>
    <mergeCell ref="J219:J229"/>
    <mergeCell ref="L219:L229"/>
    <mergeCell ref="A232:A233"/>
    <mergeCell ref="B232:C232"/>
    <mergeCell ref="D232:D233"/>
    <mergeCell ref="E232:E233"/>
    <mergeCell ref="F232:F233"/>
    <mergeCell ref="M99:M109"/>
    <mergeCell ref="A112:A113"/>
    <mergeCell ref="B112:C112"/>
    <mergeCell ref="D112:D113"/>
    <mergeCell ref="E112:E113"/>
    <mergeCell ref="F112:F113"/>
    <mergeCell ref="I112:I113"/>
    <mergeCell ref="J112:J113"/>
    <mergeCell ref="K112:K113"/>
    <mergeCell ref="L112:L113"/>
    <mergeCell ref="M112:M113"/>
    <mergeCell ref="E1:F1"/>
    <mergeCell ref="A97:A98"/>
    <mergeCell ref="B97:C97"/>
    <mergeCell ref="D97:D98"/>
    <mergeCell ref="E97:E98"/>
    <mergeCell ref="F97:F98"/>
    <mergeCell ref="K1:K2"/>
    <mergeCell ref="M40:M50"/>
    <mergeCell ref="M52:M53"/>
    <mergeCell ref="M54:M64"/>
    <mergeCell ref="M67:M68"/>
    <mergeCell ref="M69:M79"/>
    <mergeCell ref="M82:M83"/>
    <mergeCell ref="M84:M94"/>
    <mergeCell ref="L38:L39"/>
    <mergeCell ref="K38:K39"/>
    <mergeCell ref="K82:K83"/>
    <mergeCell ref="L82:L83"/>
    <mergeCell ref="M8:M9"/>
    <mergeCell ref="M10:M20"/>
    <mergeCell ref="K8:K9"/>
    <mergeCell ref="J8:J9"/>
    <mergeCell ref="I8:I9"/>
    <mergeCell ref="I97:I98"/>
    <mergeCell ref="M187:M188"/>
    <mergeCell ref="M189:M199"/>
    <mergeCell ref="M202:M203"/>
    <mergeCell ref="M204:M214"/>
    <mergeCell ref="M217:M218"/>
    <mergeCell ref="M23:M24"/>
    <mergeCell ref="M25:M35"/>
    <mergeCell ref="M38:M39"/>
    <mergeCell ref="L8:L9"/>
    <mergeCell ref="L23:L24"/>
    <mergeCell ref="L144:L154"/>
    <mergeCell ref="L69:L79"/>
    <mergeCell ref="M114:M124"/>
    <mergeCell ref="M127:M128"/>
    <mergeCell ref="M129:M139"/>
    <mergeCell ref="M142:M143"/>
    <mergeCell ref="M144:M154"/>
    <mergeCell ref="M157:M158"/>
    <mergeCell ref="M159:M169"/>
    <mergeCell ref="M172:M173"/>
    <mergeCell ref="M174:M184"/>
    <mergeCell ref="L97:L98"/>
    <mergeCell ref="M97:M98"/>
    <mergeCell ref="L99:L109"/>
    <mergeCell ref="L10:L20"/>
    <mergeCell ref="J10:J20"/>
    <mergeCell ref="J204:J214"/>
    <mergeCell ref="L204:L214"/>
    <mergeCell ref="I217:I218"/>
    <mergeCell ref="J217:J218"/>
    <mergeCell ref="K217:K218"/>
    <mergeCell ref="L217:L218"/>
    <mergeCell ref="J174:J184"/>
    <mergeCell ref="L174:L184"/>
    <mergeCell ref="I187:I188"/>
    <mergeCell ref="J187:J188"/>
    <mergeCell ref="K187:K188"/>
    <mergeCell ref="L187:L188"/>
    <mergeCell ref="J189:J199"/>
    <mergeCell ref="L189:L199"/>
    <mergeCell ref="I202:I203"/>
    <mergeCell ref="J202:J203"/>
    <mergeCell ref="K202:K203"/>
    <mergeCell ref="L202:L203"/>
    <mergeCell ref="J144:J154"/>
    <mergeCell ref="J97:J98"/>
    <mergeCell ref="K97:K98"/>
    <mergeCell ref="J99:J109"/>
    <mergeCell ref="J159:J169"/>
    <mergeCell ref="L159:L169"/>
    <mergeCell ref="I172:I173"/>
    <mergeCell ref="J172:J173"/>
    <mergeCell ref="K172:K173"/>
    <mergeCell ref="L172:L173"/>
    <mergeCell ref="K23:K24"/>
    <mergeCell ref="J23:J24"/>
    <mergeCell ref="I23:I24"/>
    <mergeCell ref="I142:I143"/>
    <mergeCell ref="J142:J143"/>
    <mergeCell ref="K142:K143"/>
    <mergeCell ref="L142:L143"/>
    <mergeCell ref="L114:L124"/>
    <mergeCell ref="I127:I128"/>
    <mergeCell ref="J127:J128"/>
    <mergeCell ref="K127:K128"/>
    <mergeCell ref="L127:L128"/>
    <mergeCell ref="J129:J139"/>
    <mergeCell ref="L129:L139"/>
    <mergeCell ref="L84:L94"/>
    <mergeCell ref="I157:I158"/>
    <mergeCell ref="J157:J158"/>
    <mergeCell ref="K157:K158"/>
    <mergeCell ref="L157:L158"/>
    <mergeCell ref="H3:L3"/>
    <mergeCell ref="J38:J39"/>
    <mergeCell ref="I38:I39"/>
    <mergeCell ref="L25:L35"/>
    <mergeCell ref="J25:J35"/>
    <mergeCell ref="E127:E128"/>
    <mergeCell ref="F127:F128"/>
    <mergeCell ref="E157:E158"/>
    <mergeCell ref="F157:F158"/>
    <mergeCell ref="J40:J50"/>
    <mergeCell ref="J84:J94"/>
    <mergeCell ref="H4:L4"/>
    <mergeCell ref="L40:L50"/>
    <mergeCell ref="I52:I53"/>
    <mergeCell ref="J52:J53"/>
    <mergeCell ref="K52:K53"/>
    <mergeCell ref="L52:L53"/>
    <mergeCell ref="J54:J64"/>
    <mergeCell ref="L54:L64"/>
    <mergeCell ref="I67:I68"/>
    <mergeCell ref="J67:J68"/>
    <mergeCell ref="K67:K68"/>
    <mergeCell ref="L67:L68"/>
    <mergeCell ref="J69:J79"/>
    <mergeCell ref="I82:I83"/>
    <mergeCell ref="J82:J83"/>
    <mergeCell ref="A157:A158"/>
    <mergeCell ref="B157:C157"/>
    <mergeCell ref="D157:D158"/>
    <mergeCell ref="A127:A128"/>
    <mergeCell ref="B127:C127"/>
    <mergeCell ref="D127:D128"/>
    <mergeCell ref="F82:F83"/>
    <mergeCell ref="A82:A83"/>
    <mergeCell ref="B82:C82"/>
    <mergeCell ref="D82:D83"/>
    <mergeCell ref="E82:E83"/>
    <mergeCell ref="J114:J124"/>
    <mergeCell ref="A142:A143"/>
    <mergeCell ref="B142:C142"/>
    <mergeCell ref="D142:D143"/>
    <mergeCell ref="E142:E143"/>
    <mergeCell ref="F142:F143"/>
    <mergeCell ref="A67:A68"/>
    <mergeCell ref="B67:C67"/>
    <mergeCell ref="D67:D68"/>
    <mergeCell ref="E67:E68"/>
    <mergeCell ref="F67:F68"/>
    <mergeCell ref="A52:A53"/>
    <mergeCell ref="B52:C52"/>
    <mergeCell ref="D52:D53"/>
    <mergeCell ref="E52:E53"/>
    <mergeCell ref="F52:F53"/>
    <mergeCell ref="F38:F39"/>
    <mergeCell ref="A38:A39"/>
    <mergeCell ref="B38:C38"/>
    <mergeCell ref="D38:D39"/>
    <mergeCell ref="E38:E39"/>
    <mergeCell ref="F8:F9"/>
    <mergeCell ref="A3:F3"/>
    <mergeCell ref="A4:F4"/>
    <mergeCell ref="A8:A9"/>
    <mergeCell ref="B8:C8"/>
    <mergeCell ref="D8:D9"/>
    <mergeCell ref="A23:A24"/>
    <mergeCell ref="B23:C23"/>
    <mergeCell ref="D23:D24"/>
    <mergeCell ref="E23:E24"/>
    <mergeCell ref="F23:F24"/>
    <mergeCell ref="E8:E9"/>
    <mergeCell ref="A172:A173"/>
    <mergeCell ref="B172:C172"/>
    <mergeCell ref="D172:D173"/>
    <mergeCell ref="E172:E173"/>
    <mergeCell ref="F172:F173"/>
    <mergeCell ref="A187:A188"/>
    <mergeCell ref="B187:C187"/>
    <mergeCell ref="D187:D188"/>
    <mergeCell ref="E187:E188"/>
    <mergeCell ref="F187:F188"/>
    <mergeCell ref="A202:A203"/>
    <mergeCell ref="B202:C202"/>
    <mergeCell ref="D202:D203"/>
    <mergeCell ref="E202:E203"/>
    <mergeCell ref="F202:F203"/>
    <mergeCell ref="A217:A218"/>
    <mergeCell ref="B217:C217"/>
    <mergeCell ref="D217:D218"/>
    <mergeCell ref="E217:E218"/>
    <mergeCell ref="F217:F218"/>
  </mergeCells>
  <phoneticPr fontId="7" type="noConversion"/>
  <conditionalFormatting sqref="I10:I20">
    <cfRule type="cellIs" dxfId="65" priority="737" operator="lessThan">
      <formula>$I$6/100</formula>
    </cfRule>
    <cfRule type="cellIs" dxfId="64" priority="738" operator="greaterThanOrEqual">
      <formula>$I$6/100</formula>
    </cfRule>
  </conditionalFormatting>
  <conditionalFormatting sqref="I25:I35">
    <cfRule type="cellIs" dxfId="63" priority="64" operator="greaterThanOrEqual">
      <formula>$I$6/100</formula>
    </cfRule>
    <cfRule type="cellIs" dxfId="62" priority="63" operator="lessThan">
      <formula>$I$6/100</formula>
    </cfRule>
  </conditionalFormatting>
  <conditionalFormatting sqref="I40:I50">
    <cfRule type="cellIs" dxfId="61" priority="60" operator="greaterThanOrEqual">
      <formula>$I$6/100</formula>
    </cfRule>
    <cfRule type="cellIs" dxfId="60" priority="59" operator="lessThan">
      <formula>$I$6/100</formula>
    </cfRule>
  </conditionalFormatting>
  <conditionalFormatting sqref="I54:I64">
    <cfRule type="cellIs" dxfId="59" priority="51" operator="lessThan">
      <formula>$I$6/100</formula>
    </cfRule>
    <cfRule type="cellIs" dxfId="58" priority="52" operator="greaterThanOrEqual">
      <formula>$I$6/100</formula>
    </cfRule>
  </conditionalFormatting>
  <conditionalFormatting sqref="I69:I79">
    <cfRule type="cellIs" dxfId="57" priority="48" operator="greaterThanOrEqual">
      <formula>$I$6/100</formula>
    </cfRule>
    <cfRule type="cellIs" dxfId="56" priority="47" operator="lessThan">
      <formula>$I$6/100</formula>
    </cfRule>
  </conditionalFormatting>
  <conditionalFormatting sqref="I84:I94">
    <cfRule type="cellIs" dxfId="55" priority="44" operator="greaterThanOrEqual">
      <formula>$I$6/100</formula>
    </cfRule>
    <cfRule type="cellIs" dxfId="54" priority="43" operator="lessThan">
      <formula>$I$6/100</formula>
    </cfRule>
  </conditionalFormatting>
  <conditionalFormatting sqref="I99:I109">
    <cfRule type="cellIs" dxfId="53" priority="39" operator="lessThan">
      <formula>$I$6/100</formula>
    </cfRule>
    <cfRule type="cellIs" dxfId="52" priority="40" operator="greaterThanOrEqual">
      <formula>$I$6/100</formula>
    </cfRule>
  </conditionalFormatting>
  <conditionalFormatting sqref="I114:I124">
    <cfRule type="cellIs" dxfId="51" priority="36" operator="greaterThanOrEqual">
      <formula>$I$6/100</formula>
    </cfRule>
    <cfRule type="cellIs" dxfId="50" priority="35" operator="lessThan">
      <formula>$I$6/100</formula>
    </cfRule>
  </conditionalFormatting>
  <conditionalFormatting sqref="I129:I139">
    <cfRule type="cellIs" dxfId="49" priority="31" operator="lessThan">
      <formula>$I$6/100</formula>
    </cfRule>
    <cfRule type="cellIs" dxfId="48" priority="32" operator="greaterThanOrEqual">
      <formula>$I$6/100</formula>
    </cfRule>
  </conditionalFormatting>
  <conditionalFormatting sqref="I144:I154">
    <cfRule type="cellIs" dxfId="47" priority="28" operator="greaterThanOrEqual">
      <formula>$I$6/100</formula>
    </cfRule>
    <cfRule type="cellIs" dxfId="46" priority="27" operator="lessThan">
      <formula>$I$6/100</formula>
    </cfRule>
  </conditionalFormatting>
  <conditionalFormatting sqref="I159:I169">
    <cfRule type="cellIs" dxfId="45" priority="24" operator="greaterThanOrEqual">
      <formula>$I$6/100</formula>
    </cfRule>
    <cfRule type="cellIs" dxfId="44" priority="23" operator="lessThan">
      <formula>$I$6/100</formula>
    </cfRule>
  </conditionalFormatting>
  <conditionalFormatting sqref="I174:I184">
    <cfRule type="cellIs" dxfId="43" priority="20" operator="greaterThanOrEqual">
      <formula>$I$6/100</formula>
    </cfRule>
    <cfRule type="cellIs" dxfId="42" priority="19" operator="lessThan">
      <formula>$I$6/100</formula>
    </cfRule>
  </conditionalFormatting>
  <conditionalFormatting sqref="I189:I199">
    <cfRule type="cellIs" dxfId="41" priority="16" operator="greaterThanOrEqual">
      <formula>$I$6/100</formula>
    </cfRule>
    <cfRule type="cellIs" dxfId="40" priority="15" operator="lessThan">
      <formula>$I$6/100</formula>
    </cfRule>
  </conditionalFormatting>
  <conditionalFormatting sqref="I204:I214">
    <cfRule type="cellIs" dxfId="39" priority="12" operator="greaterThanOrEqual">
      <formula>$I$6/100</formula>
    </cfRule>
    <cfRule type="cellIs" dxfId="38" priority="11" operator="lessThan">
      <formula>$I$6/100</formula>
    </cfRule>
  </conditionalFormatting>
  <conditionalFormatting sqref="I219:I229">
    <cfRule type="cellIs" dxfId="37" priority="8" operator="greaterThanOrEqual">
      <formula>$I$6/100</formula>
    </cfRule>
    <cfRule type="cellIs" dxfId="36" priority="7" operator="lessThan">
      <formula>$I$6/100</formula>
    </cfRule>
  </conditionalFormatting>
  <conditionalFormatting sqref="I234:I244">
    <cfRule type="cellIs" dxfId="35" priority="3" operator="lessThan">
      <formula>$I$6/100</formula>
    </cfRule>
    <cfRule type="cellIs" dxfId="34" priority="4" operator="greaterThanOrEqual">
      <formula>$I$6/100</formula>
    </cfRule>
  </conditionalFormatting>
  <conditionalFormatting sqref="J10:L10 K11:K20">
    <cfRule type="cellIs" dxfId="33" priority="305" operator="lessThan">
      <formula>$I$6/100</formula>
    </cfRule>
    <cfRule type="cellIs" dxfId="32" priority="306" operator="greaterThanOrEqual">
      <formula>$I$6/100</formula>
    </cfRule>
  </conditionalFormatting>
  <conditionalFormatting sqref="J25:L25 K26:K35">
    <cfRule type="cellIs" dxfId="31" priority="62" operator="greaterThanOrEqual">
      <formula>$I$6/100</formula>
    </cfRule>
    <cfRule type="cellIs" dxfId="30" priority="61" operator="lessThan">
      <formula>$I$6/100</formula>
    </cfRule>
  </conditionalFormatting>
  <conditionalFormatting sqref="J40:L40 K41:K50">
    <cfRule type="cellIs" dxfId="29" priority="58" operator="greaterThanOrEqual">
      <formula>$I$6/100</formula>
    </cfRule>
    <cfRule type="cellIs" dxfId="28" priority="57" operator="lessThan">
      <formula>$I$6/100</formula>
    </cfRule>
  </conditionalFormatting>
  <conditionalFormatting sqref="J54:L54 K55:K64">
    <cfRule type="cellIs" dxfId="27" priority="49" operator="lessThan">
      <formula>$I$6/100</formula>
    </cfRule>
    <cfRule type="cellIs" dxfId="26" priority="50" operator="greaterThanOrEqual">
      <formula>$I$6/100</formula>
    </cfRule>
  </conditionalFormatting>
  <conditionalFormatting sqref="J69:L69 K70:K79">
    <cfRule type="cellIs" dxfId="25" priority="46" operator="greaterThanOrEqual">
      <formula>$I$6/100</formula>
    </cfRule>
    <cfRule type="cellIs" dxfId="24" priority="45" operator="lessThan">
      <formula>$I$6/100</formula>
    </cfRule>
  </conditionalFormatting>
  <conditionalFormatting sqref="J84:L84 K85:K94">
    <cfRule type="cellIs" dxfId="23" priority="41" operator="lessThan">
      <formula>$I$6/100</formula>
    </cfRule>
    <cfRule type="cellIs" dxfId="22" priority="42" operator="greaterThanOrEqual">
      <formula>$I$6/100</formula>
    </cfRule>
  </conditionalFormatting>
  <conditionalFormatting sqref="J99:L99 K100:K109">
    <cfRule type="cellIs" dxfId="21" priority="38" operator="greaterThanOrEqual">
      <formula>$I$6/100</formula>
    </cfRule>
    <cfRule type="cellIs" dxfId="20" priority="37" operator="lessThan">
      <formula>$I$6/100</formula>
    </cfRule>
  </conditionalFormatting>
  <conditionalFormatting sqref="J114:L114 K115:K124">
    <cfRule type="cellIs" dxfId="19" priority="33" operator="lessThan">
      <formula>$I$6/100</formula>
    </cfRule>
    <cfRule type="cellIs" dxfId="18" priority="34" operator="greaterThanOrEqual">
      <formula>$I$6/100</formula>
    </cfRule>
  </conditionalFormatting>
  <conditionalFormatting sqref="J129:L129 K130:K139">
    <cfRule type="cellIs" dxfId="17" priority="30" operator="greaterThanOrEqual">
      <formula>$I$6/100</formula>
    </cfRule>
    <cfRule type="cellIs" dxfId="16" priority="29" operator="lessThan">
      <formula>$I$6/100</formula>
    </cfRule>
  </conditionalFormatting>
  <conditionalFormatting sqref="J144:L144 K145:K154">
    <cfRule type="cellIs" dxfId="15" priority="25" operator="lessThan">
      <formula>$I$6/100</formula>
    </cfRule>
    <cfRule type="cellIs" dxfId="14" priority="26" operator="greaterThanOrEqual">
      <formula>$I$6/100</formula>
    </cfRule>
  </conditionalFormatting>
  <conditionalFormatting sqref="J159:L159 K160:K169">
    <cfRule type="cellIs" dxfId="13" priority="22" operator="greaterThanOrEqual">
      <formula>$I$6/100</formula>
    </cfRule>
    <cfRule type="cellIs" dxfId="12" priority="21" operator="lessThan">
      <formula>$I$6/100</formula>
    </cfRule>
  </conditionalFormatting>
  <conditionalFormatting sqref="J174:L174 K175:K184">
    <cfRule type="cellIs" dxfId="11" priority="17" operator="lessThan">
      <formula>$I$6/100</formula>
    </cfRule>
    <cfRule type="cellIs" dxfId="10" priority="18" operator="greaterThanOrEqual">
      <formula>$I$6/100</formula>
    </cfRule>
  </conditionalFormatting>
  <conditionalFormatting sqref="J189:L189 K190:K199">
    <cfRule type="cellIs" dxfId="9" priority="14" operator="greaterThanOrEqual">
      <formula>$I$6/100</formula>
    </cfRule>
    <cfRule type="cellIs" dxfId="8" priority="13" operator="lessThan">
      <formula>$I$6/100</formula>
    </cfRule>
  </conditionalFormatting>
  <conditionalFormatting sqref="J204:L204 K205:K214">
    <cfRule type="cellIs" dxfId="7" priority="9" operator="lessThan">
      <formula>$I$6/100</formula>
    </cfRule>
    <cfRule type="cellIs" dxfId="6" priority="10" operator="greaterThanOrEqual">
      <formula>$I$6/100</formula>
    </cfRule>
  </conditionalFormatting>
  <conditionalFormatting sqref="J219:L219 K220:K229">
    <cfRule type="cellIs" dxfId="5" priority="6" operator="greaterThanOrEqual">
      <formula>$I$6/100</formula>
    </cfRule>
    <cfRule type="cellIs" dxfId="4" priority="5" operator="lessThan">
      <formula>$I$6/100</formula>
    </cfRule>
  </conditionalFormatting>
  <conditionalFormatting sqref="J234:L234 K235:K244">
    <cfRule type="cellIs" dxfId="3" priority="1" operator="lessThan">
      <formula>$I$6/100</formula>
    </cfRule>
    <cfRule type="cellIs" dxfId="2" priority="2" operator="greaterThanOrEqual">
      <formula>$I$6/100</formula>
    </cfRule>
  </conditionalFormatting>
  <conditionalFormatting sqref="L2:M2">
    <cfRule type="cellIs" dxfId="1" priority="549" operator="lessThan">
      <formula>0.0005</formula>
    </cfRule>
    <cfRule type="cellIs" dxfId="0" priority="550" operator="greaterThanOrEqual">
      <formula>0.0005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 xml:space="preserve">&amp;CPage &amp;P of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23</vt:i4>
      </vt:variant>
    </vt:vector>
  </HeadingPairs>
  <TitlesOfParts>
    <vt:vector size="24" baseType="lpstr">
      <vt:lpstr>校准结果</vt:lpstr>
      <vt:lpstr>校准结果!Print_Area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2024-07-16T01:11:22Z</cp:lastPrinted>
  <dcterms:created xsi:type="dcterms:W3CDTF">2022-12-06T12:02:00Z</dcterms:created>
  <dcterms:modified xsi:type="dcterms:W3CDTF">2024-09-04T01:39:21Z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