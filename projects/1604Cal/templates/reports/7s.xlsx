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" sheetId="16" r:id="rId1"/>
  </sheets>
  <definedNames>
    <definedName name="_xlnm.Print_Titles" localSheetId="0">'Calibration result'!$1:$4</definedName>
    <definedName name="单位">'Calibration result'!$K$5</definedName>
    <definedName name="量程最大值">'Calibration result'!$K$6</definedName>
    <definedName name="量程最小值">'Calibration result'!$I$6</definedName>
    <definedName name="通道1">'Calibration result'!$A$10</definedName>
    <definedName name="通道10">'Calibration result'!$A$111</definedName>
    <definedName name="通道11">'Calibration result'!$A$122</definedName>
    <definedName name="通道12">'Calibration result'!$A$133</definedName>
    <definedName name="通道13">'Calibration result'!$A$146</definedName>
    <definedName name="通道14">'Calibration result'!$A$157</definedName>
    <definedName name="通道15">'Calibration result'!$A$168</definedName>
    <definedName name="通道16">'Calibration result'!$A$179</definedName>
    <definedName name="通道2">'Calibration result'!$A$21</definedName>
    <definedName name="通道3">'Calibration result'!$A$32</definedName>
    <definedName name="通道4">'Calibration result'!$A$43</definedName>
    <definedName name="通道5">'Calibration result'!$A$54</definedName>
    <definedName name="通道6">'Calibration result'!$A$65</definedName>
    <definedName name="通道7">'Calibration result'!$A$76</definedName>
    <definedName name="通道8">'Calibration result'!$A$87</definedName>
    <definedName name="通道9">'Calibration result'!$A$100</definedName>
    <definedName name="校准日期">'Calibration result'!$I$5</definedName>
    <definedName name="准确度等级">'Calibration result'!$G$6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5" i="16" l="1"/>
  <c r="F185" i="16"/>
  <c r="G184" i="16"/>
  <c r="F184" i="16"/>
  <c r="G183" i="16"/>
  <c r="F183" i="16"/>
  <c r="G182" i="16"/>
  <c r="H179" i="16" s="1"/>
  <c r="F182" i="16"/>
  <c r="G181" i="16"/>
  <c r="F181" i="16"/>
  <c r="G180" i="16"/>
  <c r="F180" i="16"/>
  <c r="G179" i="16"/>
  <c r="F179" i="16"/>
  <c r="F178" i="16"/>
  <c r="G176" i="16"/>
  <c r="G174" i="16"/>
  <c r="F174" i="16"/>
  <c r="G173" i="16"/>
  <c r="F173" i="16"/>
  <c r="G172" i="16"/>
  <c r="F172" i="16"/>
  <c r="G171" i="16"/>
  <c r="F171" i="16"/>
  <c r="G170" i="16"/>
  <c r="F170" i="16"/>
  <c r="G169" i="16"/>
  <c r="F169" i="16"/>
  <c r="G168" i="16"/>
  <c r="H168" i="16" s="1"/>
  <c r="F168" i="16"/>
  <c r="F167" i="16"/>
  <c r="G165" i="16"/>
  <c r="G163" i="16"/>
  <c r="F163" i="16"/>
  <c r="G162" i="16"/>
  <c r="F162" i="16"/>
  <c r="G161" i="16"/>
  <c r="F161" i="16"/>
  <c r="G160" i="16"/>
  <c r="F160" i="16"/>
  <c r="G159" i="16"/>
  <c r="F159" i="16"/>
  <c r="G158" i="16"/>
  <c r="F158" i="16"/>
  <c r="G157" i="16"/>
  <c r="H157" i="16" s="1"/>
  <c r="F157" i="16"/>
  <c r="F156" i="16"/>
  <c r="G154" i="16"/>
  <c r="G152" i="16"/>
  <c r="F152" i="16"/>
  <c r="G151" i="16"/>
  <c r="F151" i="16"/>
  <c r="G150" i="16"/>
  <c r="F150" i="16"/>
  <c r="G149" i="16"/>
  <c r="F149" i="16"/>
  <c r="G148" i="16"/>
  <c r="F148" i="16"/>
  <c r="G147" i="16"/>
  <c r="H146" i="16" s="1"/>
  <c r="F147" i="16"/>
  <c r="G146" i="16"/>
  <c r="F146" i="16"/>
  <c r="F145" i="16"/>
  <c r="G143" i="16"/>
  <c r="G139" i="16"/>
  <c r="F139" i="16"/>
  <c r="G138" i="16"/>
  <c r="F138" i="16"/>
  <c r="G137" i="16"/>
  <c r="F137" i="16"/>
  <c r="G136" i="16"/>
  <c r="F136" i="16"/>
  <c r="G135" i="16"/>
  <c r="F135" i="16"/>
  <c r="G134" i="16"/>
  <c r="F134" i="16"/>
  <c r="G133" i="16"/>
  <c r="H133" i="16" s="1"/>
  <c r="F133" i="16"/>
  <c r="F132" i="16"/>
  <c r="G130" i="16"/>
  <c r="G128" i="16"/>
  <c r="F128" i="16"/>
  <c r="G127" i="16"/>
  <c r="F127" i="16"/>
  <c r="G126" i="16"/>
  <c r="F126" i="16"/>
  <c r="G125" i="16"/>
  <c r="F125" i="16"/>
  <c r="G124" i="16"/>
  <c r="F124" i="16"/>
  <c r="G123" i="16"/>
  <c r="F123" i="16"/>
  <c r="H122" i="16"/>
  <c r="G122" i="16"/>
  <c r="F122" i="16"/>
  <c r="F121" i="16"/>
  <c r="G119" i="16"/>
  <c r="G117" i="16"/>
  <c r="F117" i="16"/>
  <c r="G116" i="16"/>
  <c r="F116" i="16"/>
  <c r="G115" i="16"/>
  <c r="F115" i="16"/>
  <c r="G114" i="16"/>
  <c r="F114" i="16"/>
  <c r="G113" i="16"/>
  <c r="F113" i="16"/>
  <c r="G112" i="16"/>
  <c r="F112" i="16"/>
  <c r="G111" i="16"/>
  <c r="H111" i="16" s="1"/>
  <c r="F111" i="16"/>
  <c r="F110" i="16"/>
  <c r="G108" i="16"/>
  <c r="G106" i="16"/>
  <c r="F106" i="16"/>
  <c r="G105" i="16"/>
  <c r="F105" i="16"/>
  <c r="G104" i="16"/>
  <c r="F104" i="16"/>
  <c r="G103" i="16"/>
  <c r="F103" i="16"/>
  <c r="G102" i="16"/>
  <c r="H100" i="16" s="1"/>
  <c r="F102" i="16"/>
  <c r="G101" i="16"/>
  <c r="F101" i="16"/>
  <c r="G100" i="16"/>
  <c r="F100" i="16"/>
  <c r="F99" i="16"/>
  <c r="G97" i="16"/>
  <c r="G93" i="16"/>
  <c r="F93" i="16"/>
  <c r="G92" i="16"/>
  <c r="F92" i="16"/>
  <c r="G91" i="16"/>
  <c r="F91" i="16"/>
  <c r="G90" i="16"/>
  <c r="F90" i="16"/>
  <c r="G89" i="16"/>
  <c r="F89" i="16"/>
  <c r="G88" i="16"/>
  <c r="F88" i="16"/>
  <c r="G87" i="16"/>
  <c r="H87" i="16" s="1"/>
  <c r="F87" i="16"/>
  <c r="F86" i="16"/>
  <c r="G84" i="16"/>
  <c r="G82" i="16"/>
  <c r="F82" i="16"/>
  <c r="G81" i="16"/>
  <c r="F81" i="16"/>
  <c r="G80" i="16"/>
  <c r="F80" i="16"/>
  <c r="G79" i="16"/>
  <c r="F79" i="16"/>
  <c r="G78" i="16"/>
  <c r="F78" i="16"/>
  <c r="G77" i="16"/>
  <c r="F77" i="16"/>
  <c r="H76" i="16"/>
  <c r="G76" i="16"/>
  <c r="F76" i="16"/>
  <c r="F75" i="16"/>
  <c r="G73" i="16"/>
  <c r="G71" i="16"/>
  <c r="F71" i="16"/>
  <c r="G70" i="16"/>
  <c r="F70" i="16"/>
  <c r="G69" i="16"/>
  <c r="F69" i="16"/>
  <c r="G68" i="16"/>
  <c r="F68" i="16"/>
  <c r="G67" i="16"/>
  <c r="F67" i="16"/>
  <c r="G66" i="16"/>
  <c r="F66" i="16"/>
  <c r="G65" i="16"/>
  <c r="H65" i="16" s="1"/>
  <c r="F65" i="16"/>
  <c r="F64" i="16"/>
  <c r="G62" i="16"/>
  <c r="G60" i="16"/>
  <c r="F60" i="16"/>
  <c r="G59" i="16"/>
  <c r="F59" i="16"/>
  <c r="G58" i="16"/>
  <c r="F58" i="16"/>
  <c r="G57" i="16"/>
  <c r="F57" i="16"/>
  <c r="G56" i="16"/>
  <c r="F56" i="16"/>
  <c r="G55" i="16"/>
  <c r="F55" i="16"/>
  <c r="G54" i="16"/>
  <c r="H54" i="16" s="1"/>
  <c r="F54" i="16"/>
  <c r="F53" i="16"/>
  <c r="G51" i="16"/>
  <c r="G49" i="16"/>
  <c r="F49" i="16"/>
  <c r="G48" i="16"/>
  <c r="F48" i="16"/>
  <c r="G47" i="16"/>
  <c r="F47" i="16"/>
  <c r="G46" i="16"/>
  <c r="F46" i="16"/>
  <c r="G45" i="16"/>
  <c r="F45" i="16"/>
  <c r="G44" i="16"/>
  <c r="F44" i="16"/>
  <c r="G43" i="16"/>
  <c r="H43" i="16" s="1"/>
  <c r="F43" i="16"/>
  <c r="F42" i="16"/>
  <c r="G40" i="16"/>
  <c r="G38" i="16"/>
  <c r="F38" i="16"/>
  <c r="G37" i="16"/>
  <c r="F37" i="16"/>
  <c r="G36" i="16"/>
  <c r="F36" i="16"/>
  <c r="G35" i="16"/>
  <c r="F35" i="16"/>
  <c r="G34" i="16"/>
  <c r="F34" i="16"/>
  <c r="G33" i="16"/>
  <c r="F33" i="16"/>
  <c r="G32" i="16"/>
  <c r="H32" i="16" s="1"/>
  <c r="F32" i="16"/>
  <c r="F31" i="16"/>
  <c r="G29" i="16"/>
  <c r="G27" i="16"/>
  <c r="F27" i="16"/>
  <c r="G26" i="16"/>
  <c r="F26" i="16"/>
  <c r="G25" i="16"/>
  <c r="F25" i="16"/>
  <c r="G24" i="16"/>
  <c r="F24" i="16"/>
  <c r="G23" i="16"/>
  <c r="F23" i="16"/>
  <c r="G22" i="16"/>
  <c r="F22" i="16"/>
  <c r="G21" i="16"/>
  <c r="H21" i="16" s="1"/>
  <c r="F21" i="16"/>
  <c r="F20" i="16"/>
  <c r="G18" i="16"/>
  <c r="D176" i="16"/>
  <c r="D165" i="16"/>
  <c r="D154" i="16"/>
  <c r="D143" i="16"/>
  <c r="D130" i="16"/>
  <c r="D119" i="16"/>
  <c r="D108" i="16"/>
  <c r="D97" i="16"/>
  <c r="D84" i="16"/>
  <c r="D73" i="16"/>
  <c r="D62" i="16"/>
  <c r="D51" i="16"/>
  <c r="D40" i="16"/>
  <c r="D29" i="16"/>
  <c r="D18" i="16"/>
  <c r="D7" i="16"/>
  <c r="C185" i="16" l="1"/>
  <c r="C184" i="16"/>
  <c r="C183" i="16"/>
  <c r="C182" i="16"/>
  <c r="C181" i="16"/>
  <c r="C180" i="16"/>
  <c r="C179" i="16"/>
  <c r="C174" i="16"/>
  <c r="C173" i="16"/>
  <c r="C172" i="16"/>
  <c r="C171" i="16"/>
  <c r="C170" i="16"/>
  <c r="C169" i="16"/>
  <c r="C168" i="16"/>
  <c r="C163" i="16"/>
  <c r="C162" i="16"/>
  <c r="C161" i="16"/>
  <c r="C160" i="16"/>
  <c r="C159" i="16"/>
  <c r="C158" i="16"/>
  <c r="C157" i="16"/>
  <c r="C152" i="16"/>
  <c r="C151" i="16"/>
  <c r="C150" i="16"/>
  <c r="C149" i="16"/>
  <c r="C148" i="16"/>
  <c r="C147" i="16"/>
  <c r="C146" i="16"/>
  <c r="C139" i="16"/>
  <c r="C138" i="16"/>
  <c r="C137" i="16"/>
  <c r="C136" i="16"/>
  <c r="C135" i="16"/>
  <c r="C134" i="16"/>
  <c r="C133" i="16"/>
  <c r="C128" i="16"/>
  <c r="C127" i="16"/>
  <c r="C126" i="16"/>
  <c r="C125" i="16"/>
  <c r="C124" i="16"/>
  <c r="C123" i="16"/>
  <c r="C122" i="16"/>
  <c r="C117" i="16"/>
  <c r="C116" i="16"/>
  <c r="C115" i="16"/>
  <c r="C114" i="16"/>
  <c r="C113" i="16"/>
  <c r="C112" i="16"/>
  <c r="C111" i="16"/>
  <c r="C106" i="16"/>
  <c r="C105" i="16"/>
  <c r="C104" i="16"/>
  <c r="C103" i="16"/>
  <c r="C102" i="16"/>
  <c r="C101" i="16"/>
  <c r="C100" i="16"/>
  <c r="C93" i="16"/>
  <c r="C92" i="16"/>
  <c r="C91" i="16"/>
  <c r="C90" i="16"/>
  <c r="C89" i="16"/>
  <c r="C88" i="16"/>
  <c r="C87" i="16"/>
  <c r="C82" i="16"/>
  <c r="C81" i="16"/>
  <c r="C80" i="16"/>
  <c r="C79" i="16"/>
  <c r="C78" i="16"/>
  <c r="C77" i="16"/>
  <c r="C76" i="16"/>
  <c r="C71" i="16"/>
  <c r="C70" i="16"/>
  <c r="C69" i="16"/>
  <c r="C68" i="16"/>
  <c r="C67" i="16"/>
  <c r="C66" i="16"/>
  <c r="C65" i="16"/>
  <c r="C60" i="16"/>
  <c r="C59" i="16"/>
  <c r="C58" i="16"/>
  <c r="C57" i="16"/>
  <c r="C56" i="16"/>
  <c r="C55" i="16"/>
  <c r="C54" i="16"/>
  <c r="C49" i="16"/>
  <c r="C48" i="16"/>
  <c r="C47" i="16"/>
  <c r="C46" i="16"/>
  <c r="C45" i="16"/>
  <c r="C44" i="16"/>
  <c r="C43" i="16"/>
  <c r="C38" i="16"/>
  <c r="C37" i="16"/>
  <c r="C36" i="16"/>
  <c r="C35" i="16"/>
  <c r="C34" i="16"/>
  <c r="C33" i="16"/>
  <c r="C32" i="16"/>
  <c r="C27" i="16"/>
  <c r="C26" i="16"/>
  <c r="C25" i="16"/>
  <c r="C24" i="16"/>
  <c r="C23" i="16"/>
  <c r="C22" i="16"/>
  <c r="C21" i="16"/>
  <c r="C11" i="16"/>
  <c r="C12" i="16"/>
  <c r="C13" i="16"/>
  <c r="C14" i="16"/>
  <c r="C15" i="16"/>
  <c r="C16" i="16"/>
  <c r="C10" i="16"/>
  <c r="F9" i="16"/>
  <c r="F11" i="16" l="1"/>
  <c r="F12" i="16"/>
  <c r="F13" i="16"/>
  <c r="F14" i="16"/>
  <c r="F15" i="16"/>
  <c r="F16" i="16"/>
  <c r="F10" i="16"/>
  <c r="G7" i="16"/>
  <c r="G16" i="16" l="1"/>
  <c r="G15" i="16"/>
  <c r="G14" i="16"/>
  <c r="G13" i="16"/>
  <c r="G12" i="16"/>
  <c r="G11" i="16"/>
  <c r="G10" i="16"/>
  <c r="H10" i="16" l="1"/>
</calcChain>
</file>

<file path=xl/sharedStrings.xml><?xml version="1.0" encoding="utf-8"?>
<sst xmlns="http://schemas.openxmlformats.org/spreadsheetml/2006/main" count="210" uniqueCount="43">
  <si>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</si>
  <si>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</si>
  <si>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</si>
  <si>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</si>
  <si>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</si>
  <si>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</si>
  <si>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</si>
  <si>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</si>
  <si>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</si>
  <si>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</si>
  <si>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</si>
  <si>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</si>
  <si>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</si>
  <si>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</si>
  <si>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</si>
  <si>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</si>
  <si>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</si>
  <si>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</si>
  <si>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</si>
  <si>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</si>
  <si>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</si>
  <si>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</si>
  <si>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</si>
  <si>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</si>
  <si>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</si>
  <si>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证书编号：</t>
    <phoneticPr fontId="7" type="noConversion"/>
  </si>
  <si>
    <t>Certificate No.</t>
    <phoneticPr fontId="7" type="noConversion"/>
  </si>
  <si>
    <t>Calibration Date</t>
    <phoneticPr fontId="7" type="noConversion"/>
  </si>
  <si>
    <t>Equipment Number</t>
    <phoneticPr fontId="7" type="noConversion"/>
  </si>
  <si>
    <t xml:space="preserve">Accuracy </t>
    <phoneticPr fontId="7" type="noConversion"/>
  </si>
  <si>
    <t>Channel number</t>
  </si>
  <si>
    <t>Standard pressure</t>
  </si>
  <si>
    <t>Device display value</t>
  </si>
  <si>
    <t>Indication error</t>
  </si>
  <si>
    <t>Unit</t>
  </si>
  <si>
    <t>Min(Range)</t>
  </si>
  <si>
    <t>丨Indication error丨
/FS</t>
  </si>
  <si>
    <t>Example</t>
    <phoneticPr fontId="7" type="noConversion"/>
  </si>
  <si>
    <t>Unqualified</t>
    <phoneticPr fontId="7" type="noConversion"/>
  </si>
  <si>
    <t>Qualified</t>
    <phoneticPr fontId="7" type="noConversion"/>
  </si>
  <si>
    <t>Unit</t>
    <phoneticPr fontId="7" type="noConversion"/>
  </si>
  <si>
    <t>Max(Range)</t>
    <phoneticPr fontId="7" type="noConversion"/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</si>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</sst>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6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/>
    </xf>
    <xf numFmtId="0" fontId="14" fillId="0" borderId="0" xfId="2" applyFont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1068705</xdr:colOff>
      <xdr:row>186</xdr:row>
      <xdr:rowOff>5715</xdr:rowOff>
    </xdr:from>
    <xdr:to>
      <xdr:col>2</xdr:col>
      <xdr:colOff>408305</xdr:colOff>
      <xdr:row>186</xdr:row>
      <xdr:rowOff>5715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678430" y="34810065"/>
          <a:ext cx="949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8"/>
  <sheetViews>
    <sheetView tabSelected="1" workbookViewId="0">
      <selection activeCell="G22" sqref="G22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25</v>
      </c>
      <c r="D1" s="18"/>
      <c r="I1" s="34" t="s">
        <v>37</v>
      </c>
      <c r="J1" s="15" t="s">
        <v>38</v>
      </c>
      <c r="K1" s="15" t="s">
        <v>39</v>
      </c>
    </row>
    <row r="2" spans="1:12" ht="15" customHeight="1" x14ac:dyDescent="0.15">
      <c r="C2" s="24" t="s">
        <v>26</v>
      </c>
      <c r="I2" s="35"/>
      <c r="J2" s="10">
        <v>5.4000000000000001E-4</v>
      </c>
      <c r="K2" s="10">
        <v>1E-4</v>
      </c>
    </row>
    <row r="3" spans="1:12" ht="23.1" customHeight="1" x14ac:dyDescent="0.15">
      <c r="A3" s="45" t="s">
        <v>20</v>
      </c>
      <c r="B3" s="46"/>
      <c r="C3" s="46"/>
      <c r="D3" s="46"/>
      <c r="F3" s="45" t="s">
        <v>21</v>
      </c>
      <c r="G3" s="45"/>
      <c r="H3" s="45"/>
      <c r="I3" s="45"/>
      <c r="J3" s="45"/>
      <c r="K3" s="11"/>
      <c r="L3" s="11"/>
    </row>
    <row r="4" spans="1:12" ht="11.1" customHeight="1" x14ac:dyDescent="0.15">
      <c r="A4" s="47" t="s">
        <v>0</v>
      </c>
      <c r="B4" s="47"/>
      <c r="C4" s="47"/>
      <c r="D4" s="47"/>
      <c r="F4" s="44" t="s">
        <v>24</v>
      </c>
      <c r="G4" s="44"/>
      <c r="H4" s="44"/>
      <c r="I4" s="44"/>
      <c r="J4" s="44"/>
    </row>
    <row r="5" spans="1:12" ht="27" customHeight="1" x14ac:dyDescent="0.15">
      <c r="A5" s="2"/>
      <c r="B5" s="2"/>
      <c r="C5" s="2"/>
      <c r="D5" s="2"/>
      <c r="F5" s="19" t="s">
        <v>28</v>
      </c>
      <c r="G5" s="17"/>
      <c r="H5" s="19" t="s">
        <v>27</v>
      </c>
      <c r="I5" s="16"/>
      <c r="J5" s="19" t="s">
        <v>40</v>
      </c>
      <c r="K5" s="17" t="s">
        <v>23</v>
      </c>
    </row>
    <row r="6" spans="1:12" s="4" customFormat="1" x14ac:dyDescent="0.15">
      <c r="A6" s="5"/>
      <c r="B6" s="5"/>
      <c r="C6" s="5"/>
      <c r="D6" s="5"/>
      <c r="F6" s="19" t="s">
        <v>29</v>
      </c>
      <c r="G6" s="13">
        <v>0.05</v>
      </c>
      <c r="H6" s="19" t="s">
        <v>35</v>
      </c>
      <c r="I6" s="12">
        <v>0</v>
      </c>
      <c r="J6" s="19" t="s">
        <v>41</v>
      </c>
      <c r="K6" s="13">
        <v>100</v>
      </c>
    </row>
    <row r="7" spans="1:12" s="4" customFormat="1" ht="28.5" customHeight="1" x14ac:dyDescent="0.15">
      <c r="A7" s="7" t="s">
        <v>30</v>
      </c>
      <c r="B7" s="25" t="s">
        <v>4</v>
      </c>
      <c r="C7" s="27" t="s">
        <v>34</v>
      </c>
      <c r="D7" s="18" t="str">
        <f>$K$5</f>
        <v>psi</v>
      </c>
      <c r="F7" s="56" t="s">
        <v>30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48" t="s">
        <v>31</v>
      </c>
      <c r="B8" s="48" t="s">
        <v>32</v>
      </c>
      <c r="C8" s="50" t="s">
        <v>33</v>
      </c>
      <c r="D8" s="54" t="s">
        <v>3</v>
      </c>
      <c r="F8" s="33" t="s">
        <v>31</v>
      </c>
      <c r="G8" s="36" t="s">
        <v>36</v>
      </c>
      <c r="H8" s="38" t="s">
        <v>22</v>
      </c>
      <c r="I8" s="40" t="s">
        <v>42</v>
      </c>
      <c r="J8" s="40"/>
      <c r="K8" s="40"/>
    </row>
    <row r="9" spans="1:12" s="4" customFormat="1" x14ac:dyDescent="0.15">
      <c r="A9" s="49"/>
      <c r="B9" s="49"/>
      <c r="C9" s="51"/>
      <c r="D9" s="54"/>
      <c r="F9" s="32" t="str">
        <f>"（"&amp;$K$5&amp;"）"</f>
        <v>（psi）</v>
      </c>
      <c r="G9" s="37"/>
      <c r="H9" s="38"/>
      <c r="I9" s="40"/>
      <c r="J9" s="40"/>
      <c r="K9" s="40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6" si="0">A10</f>
        <v>0</v>
      </c>
      <c r="G10" s="10">
        <f t="shared" ref="G10:G16" si="1">ABS(C10)/($K$6-$I$6)</f>
        <v>0</v>
      </c>
      <c r="H10" s="41">
        <f>MAX(G10:G16)</f>
        <v>0</v>
      </c>
      <c r="I10" s="39"/>
      <c r="J10" s="39"/>
      <c r="K10" s="39"/>
    </row>
    <row r="11" spans="1:12" s="4" customFormat="1" x14ac:dyDescent="0.15">
      <c r="A11" s="20">
        <v>0</v>
      </c>
      <c r="B11" s="20">
        <v>0</v>
      </c>
      <c r="C11" s="21">
        <f t="shared" ref="C11:C16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42"/>
      <c r="I11" s="39"/>
      <c r="J11" s="39"/>
      <c r="K11" s="39"/>
    </row>
    <row r="12" spans="1:12" s="4" customFormat="1" x14ac:dyDescent="0.15">
      <c r="A12" s="20">
        <v>0</v>
      </c>
      <c r="B12" s="20">
        <v>0</v>
      </c>
      <c r="C12" s="21">
        <f t="shared" si="2"/>
        <v>0</v>
      </c>
      <c r="D12" s="6">
        <v>1.2999999999999999E-2</v>
      </c>
      <c r="F12" s="22">
        <f t="shared" si="0"/>
        <v>0</v>
      </c>
      <c r="G12" s="10">
        <f t="shared" si="1"/>
        <v>0</v>
      </c>
      <c r="H12" s="42"/>
      <c r="I12" s="39"/>
      <c r="J12" s="39"/>
      <c r="K12" s="39"/>
    </row>
    <row r="13" spans="1:12" s="4" customFormat="1" x14ac:dyDescent="0.15">
      <c r="A13" s="20">
        <v>0</v>
      </c>
      <c r="B13" s="20">
        <v>0</v>
      </c>
      <c r="C13" s="21">
        <f t="shared" si="2"/>
        <v>0</v>
      </c>
      <c r="D13" s="6">
        <v>1.2999999999999999E-2</v>
      </c>
      <c r="F13" s="22">
        <f t="shared" si="0"/>
        <v>0</v>
      </c>
      <c r="G13" s="10">
        <f t="shared" si="1"/>
        <v>0</v>
      </c>
      <c r="H13" s="42"/>
      <c r="I13" s="39"/>
      <c r="J13" s="39"/>
      <c r="K13" s="39"/>
    </row>
    <row r="14" spans="1:12" s="4" customFormat="1" x14ac:dyDescent="0.15">
      <c r="A14" s="20">
        <v>0</v>
      </c>
      <c r="B14" s="20">
        <v>0</v>
      </c>
      <c r="C14" s="21">
        <f t="shared" si="2"/>
        <v>0</v>
      </c>
      <c r="D14" s="6">
        <v>1.2999999999999999E-2</v>
      </c>
      <c r="F14" s="22">
        <f t="shared" si="0"/>
        <v>0</v>
      </c>
      <c r="G14" s="10">
        <f t="shared" si="1"/>
        <v>0</v>
      </c>
      <c r="H14" s="42"/>
      <c r="I14" s="39"/>
      <c r="J14" s="39"/>
      <c r="K14" s="39"/>
    </row>
    <row r="15" spans="1:12" s="4" customFormat="1" x14ac:dyDescent="0.15">
      <c r="A15" s="20">
        <v>0</v>
      </c>
      <c r="B15" s="20">
        <v>0</v>
      </c>
      <c r="C15" s="21">
        <f t="shared" si="2"/>
        <v>0</v>
      </c>
      <c r="D15" s="6">
        <v>1.2999999999999999E-2</v>
      </c>
      <c r="F15" s="22">
        <f t="shared" si="0"/>
        <v>0</v>
      </c>
      <c r="G15" s="10">
        <f t="shared" si="1"/>
        <v>0</v>
      </c>
      <c r="H15" s="42"/>
      <c r="I15" s="39"/>
      <c r="J15" s="39"/>
      <c r="K15" s="39"/>
    </row>
    <row r="16" spans="1:12" s="4" customFormat="1" x14ac:dyDescent="0.15">
      <c r="A16" s="20">
        <v>0</v>
      </c>
      <c r="B16" s="20">
        <v>0</v>
      </c>
      <c r="C16" s="21">
        <f t="shared" si="2"/>
        <v>0</v>
      </c>
      <c r="D16" s="6">
        <v>1.2999999999999999E-2</v>
      </c>
      <c r="F16" s="22">
        <f t="shared" si="0"/>
        <v>0</v>
      </c>
      <c r="G16" s="10">
        <f t="shared" si="1"/>
        <v>0</v>
      </c>
      <c r="H16" s="43"/>
      <c r="I16" s="39"/>
      <c r="J16" s="39"/>
      <c r="K16" s="39"/>
    </row>
    <row r="17" spans="1:11" s="4" customFormat="1" ht="7.5" customHeight="1" x14ac:dyDescent="0.15">
      <c r="A17" s="28"/>
      <c r="B17" s="28"/>
      <c r="C17" s="29"/>
      <c r="D17" s="30"/>
      <c r="F17" s="26"/>
      <c r="G17" s="26"/>
      <c r="H17" s="26"/>
      <c r="I17" s="26"/>
      <c r="J17" s="26"/>
      <c r="K17" s="26"/>
    </row>
    <row r="18" spans="1:11" x14ac:dyDescent="0.15">
      <c r="A18" s="7" t="s">
        <v>30</v>
      </c>
      <c r="B18" s="25" t="s">
        <v>5</v>
      </c>
      <c r="C18" s="8" t="s">
        <v>34</v>
      </c>
      <c r="D18" s="18" t="str">
        <f>$K$5</f>
        <v>psi</v>
      </c>
      <c r="F18" s="14" t="s">
        <v>30</v>
      </c>
      <c r="G18" s="9" t="str">
        <f>B18</f>
        <v>CH2</v>
      </c>
      <c r="H18" s="4"/>
      <c r="I18" s="8"/>
      <c r="J18" s="3"/>
      <c r="K18" s="9"/>
    </row>
    <row r="19" spans="1:11" ht="15" customHeight="1" x14ac:dyDescent="0.15">
      <c r="A19" s="49" t="s">
        <v>31</v>
      </c>
      <c r="B19" s="48" t="s">
        <v>32</v>
      </c>
      <c r="C19" s="53" t="s">
        <v>33</v>
      </c>
      <c r="D19" s="54" t="s">
        <v>3</v>
      </c>
      <c r="F19" s="33" t="s">
        <v>31</v>
      </c>
      <c r="G19" s="36" t="s">
        <v>36</v>
      </c>
      <c r="H19" s="38" t="s">
        <v>22</v>
      </c>
      <c r="I19" s="40" t="s">
        <v>42</v>
      </c>
      <c r="J19" s="40"/>
      <c r="K19" s="40"/>
    </row>
    <row r="20" spans="1:11" x14ac:dyDescent="0.15">
      <c r="A20" s="52"/>
      <c r="B20" s="49"/>
      <c r="C20" s="51"/>
      <c r="D20" s="54"/>
      <c r="F20" s="32" t="str">
        <f>"（"&amp;$K$5&amp;"）"</f>
        <v>（psi）</v>
      </c>
      <c r="G20" s="37"/>
      <c r="H20" s="38"/>
      <c r="I20" s="40"/>
      <c r="J20" s="40"/>
      <c r="K20" s="40"/>
    </row>
    <row r="21" spans="1:11" x14ac:dyDescent="0.15">
      <c r="A21" s="20">
        <v>0</v>
      </c>
      <c r="B21" s="20">
        <v>0</v>
      </c>
      <c r="C21" s="21">
        <f>B21-A21</f>
        <v>0</v>
      </c>
      <c r="D21" s="6">
        <v>1.2999999999999999E-2</v>
      </c>
      <c r="F21" s="22">
        <f t="shared" ref="F21:F27" si="3">A21</f>
        <v>0</v>
      </c>
      <c r="G21" s="10">
        <f t="shared" ref="G21:G27" si="4">ABS(C21)/($K$6-$I$6)</f>
        <v>0</v>
      </c>
      <c r="H21" s="41">
        <f>MAX(G21:G27)</f>
        <v>0</v>
      </c>
      <c r="I21" s="39"/>
      <c r="J21" s="39"/>
      <c r="K21" s="39"/>
    </row>
    <row r="22" spans="1:11" x14ac:dyDescent="0.15">
      <c r="A22" s="20">
        <v>0</v>
      </c>
      <c r="B22" s="20">
        <v>0</v>
      </c>
      <c r="C22" s="21">
        <f t="shared" ref="C22:C27" si="5">B22-A22</f>
        <v>0</v>
      </c>
      <c r="D22" s="6">
        <v>1.2999999999999999E-2</v>
      </c>
      <c r="F22" s="22">
        <f t="shared" si="3"/>
        <v>0</v>
      </c>
      <c r="G22" s="10">
        <f t="shared" si="4"/>
        <v>0</v>
      </c>
      <c r="H22" s="42"/>
      <c r="I22" s="39"/>
      <c r="J22" s="39"/>
      <c r="K22" s="39"/>
    </row>
    <row r="23" spans="1:11" x14ac:dyDescent="0.15">
      <c r="A23" s="20">
        <v>0</v>
      </c>
      <c r="B23" s="20">
        <v>0</v>
      </c>
      <c r="C23" s="21">
        <f t="shared" si="5"/>
        <v>0</v>
      </c>
      <c r="D23" s="6">
        <v>1.2999999999999999E-2</v>
      </c>
      <c r="F23" s="22">
        <f t="shared" si="3"/>
        <v>0</v>
      </c>
      <c r="G23" s="10">
        <f t="shared" si="4"/>
        <v>0</v>
      </c>
      <c r="H23" s="42"/>
      <c r="I23" s="39"/>
      <c r="J23" s="39"/>
      <c r="K23" s="39"/>
    </row>
    <row r="24" spans="1:11" x14ac:dyDescent="0.15">
      <c r="A24" s="20">
        <v>0</v>
      </c>
      <c r="B24" s="20">
        <v>0</v>
      </c>
      <c r="C24" s="21">
        <f t="shared" si="5"/>
        <v>0</v>
      </c>
      <c r="D24" s="6">
        <v>1.2999999999999999E-2</v>
      </c>
      <c r="F24" s="22">
        <f t="shared" si="3"/>
        <v>0</v>
      </c>
      <c r="G24" s="10">
        <f t="shared" si="4"/>
        <v>0</v>
      </c>
      <c r="H24" s="42"/>
      <c r="I24" s="39"/>
      <c r="J24" s="39"/>
      <c r="K24" s="39"/>
    </row>
    <row r="25" spans="1:11" x14ac:dyDescent="0.15">
      <c r="A25" s="20">
        <v>0</v>
      </c>
      <c r="B25" s="20">
        <v>0</v>
      </c>
      <c r="C25" s="21">
        <f t="shared" si="5"/>
        <v>0</v>
      </c>
      <c r="D25" s="6">
        <v>1.2999999999999999E-2</v>
      </c>
      <c r="F25" s="22">
        <f t="shared" si="3"/>
        <v>0</v>
      </c>
      <c r="G25" s="10">
        <f t="shared" si="4"/>
        <v>0</v>
      </c>
      <c r="H25" s="42"/>
      <c r="I25" s="39"/>
      <c r="J25" s="39"/>
      <c r="K25" s="39"/>
    </row>
    <row r="26" spans="1:11" x14ac:dyDescent="0.15">
      <c r="A26" s="20">
        <v>0</v>
      </c>
      <c r="B26" s="20">
        <v>0</v>
      </c>
      <c r="C26" s="21">
        <f t="shared" si="5"/>
        <v>0</v>
      </c>
      <c r="D26" s="6">
        <v>1.2999999999999999E-2</v>
      </c>
      <c r="F26" s="22">
        <f t="shared" si="3"/>
        <v>0</v>
      </c>
      <c r="G26" s="10">
        <f t="shared" si="4"/>
        <v>0</v>
      </c>
      <c r="H26" s="42"/>
      <c r="I26" s="39"/>
      <c r="J26" s="39"/>
      <c r="K26" s="39"/>
    </row>
    <row r="27" spans="1:11" x14ac:dyDescent="0.15">
      <c r="A27" s="20">
        <v>0</v>
      </c>
      <c r="B27" s="20">
        <v>0</v>
      </c>
      <c r="C27" s="21">
        <f t="shared" si="5"/>
        <v>0</v>
      </c>
      <c r="D27" s="6">
        <v>1.2999999999999999E-2</v>
      </c>
      <c r="F27" s="22">
        <f t="shared" si="3"/>
        <v>0</v>
      </c>
      <c r="G27" s="10">
        <f t="shared" si="4"/>
        <v>0</v>
      </c>
      <c r="H27" s="43"/>
      <c r="I27" s="39"/>
      <c r="J27" s="39"/>
      <c r="K27" s="39"/>
    </row>
    <row r="28" spans="1:11" ht="6.75" customHeight="1" x14ac:dyDescent="0.15">
      <c r="A28" s="28"/>
      <c r="B28" s="28"/>
      <c r="C28" s="29"/>
      <c r="D28" s="30"/>
      <c r="F28" s="31"/>
      <c r="G28" s="26"/>
      <c r="H28" s="26"/>
      <c r="I28" s="26"/>
      <c r="J28" s="26"/>
      <c r="K28" s="26"/>
    </row>
    <row r="29" spans="1:11" x14ac:dyDescent="0.15">
      <c r="A29" s="7" t="s">
        <v>30</v>
      </c>
      <c r="B29" s="25" t="s">
        <v>6</v>
      </c>
      <c r="C29" s="8" t="s">
        <v>34</v>
      </c>
      <c r="D29" s="18" t="str">
        <f>$K$5</f>
        <v>psi</v>
      </c>
      <c r="F29" s="14" t="s">
        <v>30</v>
      </c>
      <c r="G29" s="9" t="str">
        <f>B29</f>
        <v>CH3</v>
      </c>
      <c r="H29" s="4"/>
      <c r="I29" s="8"/>
      <c r="J29" s="3"/>
      <c r="K29" s="9"/>
    </row>
    <row r="30" spans="1:11" ht="15" customHeight="1" x14ac:dyDescent="0.15">
      <c r="A30" s="49" t="s">
        <v>31</v>
      </c>
      <c r="B30" s="48" t="s">
        <v>32</v>
      </c>
      <c r="C30" s="53" t="s">
        <v>33</v>
      </c>
      <c r="D30" s="54" t="s">
        <v>3</v>
      </c>
      <c r="F30" s="33" t="s">
        <v>31</v>
      </c>
      <c r="G30" s="36" t="s">
        <v>36</v>
      </c>
      <c r="H30" s="38" t="s">
        <v>22</v>
      </c>
      <c r="I30" s="40" t="s">
        <v>42</v>
      </c>
      <c r="J30" s="40"/>
      <c r="K30" s="40"/>
    </row>
    <row r="31" spans="1:11" x14ac:dyDescent="0.15">
      <c r="A31" s="52"/>
      <c r="B31" s="49"/>
      <c r="C31" s="51"/>
      <c r="D31" s="54"/>
      <c r="F31" s="32" t="str">
        <f>"（"&amp;$K$5&amp;"）"</f>
        <v>（psi）</v>
      </c>
      <c r="G31" s="37"/>
      <c r="H31" s="38"/>
      <c r="I31" s="40"/>
      <c r="J31" s="40"/>
      <c r="K31" s="40"/>
    </row>
    <row r="32" spans="1:11" x14ac:dyDescent="0.15">
      <c r="A32" s="20">
        <v>0</v>
      </c>
      <c r="B32" s="20">
        <v>0</v>
      </c>
      <c r="C32" s="21">
        <f>B32-A32</f>
        <v>0</v>
      </c>
      <c r="D32" s="6">
        <v>1.2999999999999999E-2</v>
      </c>
      <c r="F32" s="22">
        <f t="shared" ref="F32:F38" si="6">A32</f>
        <v>0</v>
      </c>
      <c r="G32" s="10">
        <f t="shared" ref="G32:G38" si="7">ABS(C32)/($K$6-$I$6)</f>
        <v>0</v>
      </c>
      <c r="H32" s="41">
        <f>MAX(G32:G38)</f>
        <v>0</v>
      </c>
      <c r="I32" s="39"/>
      <c r="J32" s="39"/>
      <c r="K32" s="39"/>
    </row>
    <row r="33" spans="1:11" x14ac:dyDescent="0.15">
      <c r="A33" s="20">
        <v>0</v>
      </c>
      <c r="B33" s="20">
        <v>0</v>
      </c>
      <c r="C33" s="21">
        <f t="shared" ref="C33:C38" si="8">B33-A33</f>
        <v>0</v>
      </c>
      <c r="D33" s="6">
        <v>1.2999999999999999E-2</v>
      </c>
      <c r="F33" s="22">
        <f t="shared" si="6"/>
        <v>0</v>
      </c>
      <c r="G33" s="10">
        <f t="shared" si="7"/>
        <v>0</v>
      </c>
      <c r="H33" s="42"/>
      <c r="I33" s="39"/>
      <c r="J33" s="39"/>
      <c r="K33" s="39"/>
    </row>
    <row r="34" spans="1:11" x14ac:dyDescent="0.15">
      <c r="A34" s="20">
        <v>0</v>
      </c>
      <c r="B34" s="20">
        <v>0</v>
      </c>
      <c r="C34" s="21">
        <f t="shared" si="8"/>
        <v>0</v>
      </c>
      <c r="D34" s="6">
        <v>1.2999999999999999E-2</v>
      </c>
      <c r="F34" s="22">
        <f t="shared" si="6"/>
        <v>0</v>
      </c>
      <c r="G34" s="10">
        <f t="shared" si="7"/>
        <v>0</v>
      </c>
      <c r="H34" s="42"/>
      <c r="I34" s="39"/>
      <c r="J34" s="39"/>
      <c r="K34" s="39"/>
    </row>
    <row r="35" spans="1:11" x14ac:dyDescent="0.15">
      <c r="A35" s="20">
        <v>0</v>
      </c>
      <c r="B35" s="20">
        <v>0</v>
      </c>
      <c r="C35" s="21">
        <f t="shared" si="8"/>
        <v>0</v>
      </c>
      <c r="D35" s="6">
        <v>1.2999999999999999E-2</v>
      </c>
      <c r="F35" s="22">
        <f t="shared" si="6"/>
        <v>0</v>
      </c>
      <c r="G35" s="10">
        <f t="shared" si="7"/>
        <v>0</v>
      </c>
      <c r="H35" s="42"/>
      <c r="I35" s="39"/>
      <c r="J35" s="39"/>
      <c r="K35" s="39"/>
    </row>
    <row r="36" spans="1:11" x14ac:dyDescent="0.15">
      <c r="A36" s="20">
        <v>0</v>
      </c>
      <c r="B36" s="20">
        <v>0</v>
      </c>
      <c r="C36" s="21">
        <f t="shared" si="8"/>
        <v>0</v>
      </c>
      <c r="D36" s="6">
        <v>1.2999999999999999E-2</v>
      </c>
      <c r="F36" s="22">
        <f t="shared" si="6"/>
        <v>0</v>
      </c>
      <c r="G36" s="10">
        <f t="shared" si="7"/>
        <v>0</v>
      </c>
      <c r="H36" s="42"/>
      <c r="I36" s="39"/>
      <c r="J36" s="39"/>
      <c r="K36" s="39"/>
    </row>
    <row r="37" spans="1:11" x14ac:dyDescent="0.15">
      <c r="A37" s="20">
        <v>0</v>
      </c>
      <c r="B37" s="20">
        <v>0</v>
      </c>
      <c r="C37" s="21">
        <f t="shared" si="8"/>
        <v>0</v>
      </c>
      <c r="D37" s="6">
        <v>1.2999999999999999E-2</v>
      </c>
      <c r="F37" s="22">
        <f t="shared" si="6"/>
        <v>0</v>
      </c>
      <c r="G37" s="10">
        <f t="shared" si="7"/>
        <v>0</v>
      </c>
      <c r="H37" s="42"/>
      <c r="I37" s="39"/>
      <c r="J37" s="39"/>
      <c r="K37" s="39"/>
    </row>
    <row r="38" spans="1:11" x14ac:dyDescent="0.15">
      <c r="A38" s="20">
        <v>0</v>
      </c>
      <c r="B38" s="20">
        <v>0</v>
      </c>
      <c r="C38" s="21">
        <f t="shared" si="8"/>
        <v>0</v>
      </c>
      <c r="D38" s="6">
        <v>1.2999999999999999E-2</v>
      </c>
      <c r="F38" s="22">
        <f t="shared" si="6"/>
        <v>0</v>
      </c>
      <c r="G38" s="10">
        <f t="shared" si="7"/>
        <v>0</v>
      </c>
      <c r="H38" s="43"/>
      <c r="I38" s="39"/>
      <c r="J38" s="39"/>
      <c r="K38" s="39"/>
    </row>
    <row r="39" spans="1:11" ht="9" customHeight="1" x14ac:dyDescent="0.15">
      <c r="A39" s="28"/>
      <c r="B39" s="28"/>
      <c r="C39" s="29"/>
      <c r="D39" s="30"/>
      <c r="F39" s="31"/>
      <c r="G39" s="26"/>
      <c r="H39" s="26"/>
      <c r="I39" s="26"/>
      <c r="J39" s="26"/>
      <c r="K39" s="26"/>
    </row>
    <row r="40" spans="1:11" x14ac:dyDescent="0.15">
      <c r="A40" s="7" t="s">
        <v>30</v>
      </c>
      <c r="B40" s="25" t="s">
        <v>7</v>
      </c>
      <c r="C40" s="8" t="s">
        <v>34</v>
      </c>
      <c r="D40" s="18" t="str">
        <f>$K$5</f>
        <v>psi</v>
      </c>
      <c r="F40" s="14" t="s">
        <v>30</v>
      </c>
      <c r="G40" s="9" t="str">
        <f>B40</f>
        <v>CH4</v>
      </c>
      <c r="H40" s="4"/>
      <c r="I40" s="8"/>
      <c r="J40" s="3"/>
      <c r="K40" s="9"/>
    </row>
    <row r="41" spans="1:11" ht="15" customHeight="1" x14ac:dyDescent="0.15">
      <c r="A41" s="49" t="s">
        <v>31</v>
      </c>
      <c r="B41" s="48" t="s">
        <v>32</v>
      </c>
      <c r="C41" s="53" t="s">
        <v>33</v>
      </c>
      <c r="D41" s="54" t="s">
        <v>3</v>
      </c>
      <c r="F41" s="33" t="s">
        <v>31</v>
      </c>
      <c r="G41" s="36" t="s">
        <v>36</v>
      </c>
      <c r="H41" s="38" t="s">
        <v>22</v>
      </c>
      <c r="I41" s="40" t="s">
        <v>42</v>
      </c>
      <c r="J41" s="40"/>
      <c r="K41" s="40"/>
    </row>
    <row r="42" spans="1:11" x14ac:dyDescent="0.15">
      <c r="A42" s="52"/>
      <c r="B42" s="49"/>
      <c r="C42" s="51"/>
      <c r="D42" s="54"/>
      <c r="F42" s="32" t="str">
        <f>"（"&amp;$K$5&amp;"）"</f>
        <v>（psi）</v>
      </c>
      <c r="G42" s="37"/>
      <c r="H42" s="38"/>
      <c r="I42" s="40"/>
      <c r="J42" s="40"/>
      <c r="K42" s="40"/>
    </row>
    <row r="43" spans="1:11" x14ac:dyDescent="0.15">
      <c r="A43" s="20">
        <v>0</v>
      </c>
      <c r="B43" s="20">
        <v>0</v>
      </c>
      <c r="C43" s="21">
        <f>B43-A43</f>
        <v>0</v>
      </c>
      <c r="D43" s="6">
        <v>1.2999999999999999E-2</v>
      </c>
      <c r="F43" s="22">
        <f t="shared" ref="F43:F49" si="9">A43</f>
        <v>0</v>
      </c>
      <c r="G43" s="10">
        <f t="shared" ref="G43:G49" si="10">ABS(C43)/($K$6-$I$6)</f>
        <v>0</v>
      </c>
      <c r="H43" s="41">
        <f>MAX(G43:G49)</f>
        <v>0</v>
      </c>
      <c r="I43" s="39"/>
      <c r="J43" s="39"/>
      <c r="K43" s="39"/>
    </row>
    <row r="44" spans="1:11" x14ac:dyDescent="0.15">
      <c r="A44" s="20">
        <v>0</v>
      </c>
      <c r="B44" s="20">
        <v>0</v>
      </c>
      <c r="C44" s="21">
        <f t="shared" ref="C44:C49" si="11">B44-A44</f>
        <v>0</v>
      </c>
      <c r="D44" s="6">
        <v>1.2999999999999999E-2</v>
      </c>
      <c r="F44" s="22">
        <f t="shared" si="9"/>
        <v>0</v>
      </c>
      <c r="G44" s="10">
        <f t="shared" si="10"/>
        <v>0</v>
      </c>
      <c r="H44" s="42"/>
      <c r="I44" s="39"/>
      <c r="J44" s="39"/>
      <c r="K44" s="39"/>
    </row>
    <row r="45" spans="1:11" x14ac:dyDescent="0.15">
      <c r="A45" s="20">
        <v>0</v>
      </c>
      <c r="B45" s="20">
        <v>0</v>
      </c>
      <c r="C45" s="21">
        <f t="shared" si="11"/>
        <v>0</v>
      </c>
      <c r="D45" s="6">
        <v>1.2999999999999999E-2</v>
      </c>
      <c r="F45" s="22">
        <f t="shared" si="9"/>
        <v>0</v>
      </c>
      <c r="G45" s="10">
        <f t="shared" si="10"/>
        <v>0</v>
      </c>
      <c r="H45" s="42"/>
      <c r="I45" s="39"/>
      <c r="J45" s="39"/>
      <c r="K45" s="39"/>
    </row>
    <row r="46" spans="1:11" x14ac:dyDescent="0.15">
      <c r="A46" s="20">
        <v>0</v>
      </c>
      <c r="B46" s="20">
        <v>0</v>
      </c>
      <c r="C46" s="21">
        <f t="shared" si="11"/>
        <v>0</v>
      </c>
      <c r="D46" s="6">
        <v>1.2999999999999999E-2</v>
      </c>
      <c r="F46" s="22">
        <f t="shared" si="9"/>
        <v>0</v>
      </c>
      <c r="G46" s="10">
        <f t="shared" si="10"/>
        <v>0</v>
      </c>
      <c r="H46" s="42"/>
      <c r="I46" s="39"/>
      <c r="J46" s="39"/>
      <c r="K46" s="39"/>
    </row>
    <row r="47" spans="1:11" x14ac:dyDescent="0.15">
      <c r="A47" s="20">
        <v>0</v>
      </c>
      <c r="B47" s="20">
        <v>0</v>
      </c>
      <c r="C47" s="21">
        <f t="shared" si="11"/>
        <v>0</v>
      </c>
      <c r="D47" s="6">
        <v>1.2999999999999999E-2</v>
      </c>
      <c r="F47" s="22">
        <f t="shared" si="9"/>
        <v>0</v>
      </c>
      <c r="G47" s="10">
        <f t="shared" si="10"/>
        <v>0</v>
      </c>
      <c r="H47" s="42"/>
      <c r="I47" s="39"/>
      <c r="J47" s="39"/>
      <c r="K47" s="39"/>
    </row>
    <row r="48" spans="1:11" x14ac:dyDescent="0.15">
      <c r="A48" s="20">
        <v>0</v>
      </c>
      <c r="B48" s="20">
        <v>0</v>
      </c>
      <c r="C48" s="21">
        <f t="shared" si="11"/>
        <v>0</v>
      </c>
      <c r="D48" s="6">
        <v>1.2999999999999999E-2</v>
      </c>
      <c r="F48" s="22">
        <f t="shared" si="9"/>
        <v>0</v>
      </c>
      <c r="G48" s="10">
        <f t="shared" si="10"/>
        <v>0</v>
      </c>
      <c r="H48" s="42"/>
      <c r="I48" s="39"/>
      <c r="J48" s="39"/>
      <c r="K48" s="39"/>
    </row>
    <row r="49" spans="1:11" x14ac:dyDescent="0.15">
      <c r="A49" s="20">
        <v>0</v>
      </c>
      <c r="B49" s="20">
        <v>0</v>
      </c>
      <c r="C49" s="21">
        <f t="shared" si="11"/>
        <v>0</v>
      </c>
      <c r="D49" s="6">
        <v>1.2999999999999999E-2</v>
      </c>
      <c r="F49" s="22">
        <f t="shared" si="9"/>
        <v>0</v>
      </c>
      <c r="G49" s="10">
        <f t="shared" si="10"/>
        <v>0</v>
      </c>
      <c r="H49" s="43"/>
      <c r="I49" s="39"/>
      <c r="J49" s="39"/>
      <c r="K49" s="39"/>
    </row>
    <row r="50" spans="1:11" x14ac:dyDescent="0.15">
      <c r="A50" s="28"/>
      <c r="B50" s="28"/>
      <c r="C50" s="29"/>
      <c r="D50" s="30"/>
      <c r="F50" s="31"/>
      <c r="G50" s="26"/>
      <c r="H50" s="26"/>
      <c r="I50" s="26"/>
      <c r="J50" s="26"/>
      <c r="K50" s="26"/>
    </row>
    <row r="51" spans="1:11" x14ac:dyDescent="0.15">
      <c r="A51" s="7" t="s">
        <v>30</v>
      </c>
      <c r="B51" s="25" t="s">
        <v>8</v>
      </c>
      <c r="C51" s="8" t="s">
        <v>34</v>
      </c>
      <c r="D51" s="18" t="str">
        <f>$K$5</f>
        <v>psi</v>
      </c>
      <c r="F51" s="14" t="s">
        <v>30</v>
      </c>
      <c r="G51" s="9" t="str">
        <f>B51</f>
        <v>CH5</v>
      </c>
      <c r="H51" s="4"/>
      <c r="I51" s="8"/>
      <c r="J51" s="3"/>
      <c r="K51" s="9"/>
    </row>
    <row r="52" spans="1:11" ht="15" customHeight="1" x14ac:dyDescent="0.15">
      <c r="A52" s="49" t="s">
        <v>31</v>
      </c>
      <c r="B52" s="48" t="s">
        <v>32</v>
      </c>
      <c r="C52" s="53" t="s">
        <v>33</v>
      </c>
      <c r="D52" s="54" t="s">
        <v>3</v>
      </c>
      <c r="F52" s="33" t="s">
        <v>31</v>
      </c>
      <c r="G52" s="36" t="s">
        <v>36</v>
      </c>
      <c r="H52" s="38" t="s">
        <v>22</v>
      </c>
      <c r="I52" s="40" t="s">
        <v>42</v>
      </c>
      <c r="J52" s="40"/>
      <c r="K52" s="40"/>
    </row>
    <row r="53" spans="1:11" x14ac:dyDescent="0.15">
      <c r="A53" s="52"/>
      <c r="B53" s="49"/>
      <c r="C53" s="51"/>
      <c r="D53" s="54"/>
      <c r="F53" s="32" t="str">
        <f>"（"&amp;$K$5&amp;"）"</f>
        <v>（psi）</v>
      </c>
      <c r="G53" s="37"/>
      <c r="H53" s="38"/>
      <c r="I53" s="40"/>
      <c r="J53" s="40"/>
      <c r="K53" s="40"/>
    </row>
    <row r="54" spans="1:11" x14ac:dyDescent="0.15">
      <c r="A54" s="20">
        <v>0</v>
      </c>
      <c r="B54" s="20">
        <v>0</v>
      </c>
      <c r="C54" s="21">
        <f>B54-A54</f>
        <v>0</v>
      </c>
      <c r="D54" s="6">
        <v>1.2999999999999999E-2</v>
      </c>
      <c r="F54" s="22">
        <f t="shared" ref="F54:F60" si="12">A54</f>
        <v>0</v>
      </c>
      <c r="G54" s="10">
        <f t="shared" ref="G54:G60" si="13">ABS(C54)/($K$6-$I$6)</f>
        <v>0</v>
      </c>
      <c r="H54" s="41">
        <f>MAX(G54:G60)</f>
        <v>0</v>
      </c>
      <c r="I54" s="39"/>
      <c r="J54" s="39"/>
      <c r="K54" s="39"/>
    </row>
    <row r="55" spans="1:11" x14ac:dyDescent="0.15">
      <c r="A55" s="20">
        <v>0</v>
      </c>
      <c r="B55" s="20">
        <v>0</v>
      </c>
      <c r="C55" s="21">
        <f t="shared" ref="C55:C60" si="14">B55-A55</f>
        <v>0</v>
      </c>
      <c r="D55" s="6">
        <v>1.2999999999999999E-2</v>
      </c>
      <c r="F55" s="22">
        <f t="shared" si="12"/>
        <v>0</v>
      </c>
      <c r="G55" s="10">
        <f t="shared" si="13"/>
        <v>0</v>
      </c>
      <c r="H55" s="42"/>
      <c r="I55" s="39"/>
      <c r="J55" s="39"/>
      <c r="K55" s="39"/>
    </row>
    <row r="56" spans="1:11" x14ac:dyDescent="0.15">
      <c r="A56" s="20">
        <v>0</v>
      </c>
      <c r="B56" s="20">
        <v>0</v>
      </c>
      <c r="C56" s="21">
        <f t="shared" si="14"/>
        <v>0</v>
      </c>
      <c r="D56" s="6">
        <v>1.2999999999999999E-2</v>
      </c>
      <c r="F56" s="22">
        <f t="shared" si="12"/>
        <v>0</v>
      </c>
      <c r="G56" s="10">
        <f t="shared" si="13"/>
        <v>0</v>
      </c>
      <c r="H56" s="42"/>
      <c r="I56" s="39"/>
      <c r="J56" s="39"/>
      <c r="K56" s="39"/>
    </row>
    <row r="57" spans="1:11" x14ac:dyDescent="0.15">
      <c r="A57" s="20">
        <v>0</v>
      </c>
      <c r="B57" s="20">
        <v>0</v>
      </c>
      <c r="C57" s="21">
        <f t="shared" si="14"/>
        <v>0</v>
      </c>
      <c r="D57" s="6">
        <v>1.2999999999999999E-2</v>
      </c>
      <c r="F57" s="22">
        <f t="shared" si="12"/>
        <v>0</v>
      </c>
      <c r="G57" s="10">
        <f t="shared" si="13"/>
        <v>0</v>
      </c>
      <c r="H57" s="42"/>
      <c r="I57" s="39"/>
      <c r="J57" s="39"/>
      <c r="K57" s="39"/>
    </row>
    <row r="58" spans="1:11" x14ac:dyDescent="0.15">
      <c r="A58" s="20">
        <v>0</v>
      </c>
      <c r="B58" s="20">
        <v>0</v>
      </c>
      <c r="C58" s="21">
        <f t="shared" si="14"/>
        <v>0</v>
      </c>
      <c r="D58" s="6">
        <v>1.2999999999999999E-2</v>
      </c>
      <c r="F58" s="22">
        <f t="shared" si="12"/>
        <v>0</v>
      </c>
      <c r="G58" s="10">
        <f t="shared" si="13"/>
        <v>0</v>
      </c>
      <c r="H58" s="42"/>
      <c r="I58" s="39"/>
      <c r="J58" s="39"/>
      <c r="K58" s="39"/>
    </row>
    <row r="59" spans="1:11" x14ac:dyDescent="0.15">
      <c r="A59" s="20">
        <v>0</v>
      </c>
      <c r="B59" s="20">
        <v>0</v>
      </c>
      <c r="C59" s="21">
        <f t="shared" si="14"/>
        <v>0</v>
      </c>
      <c r="D59" s="6">
        <v>1.2999999999999999E-2</v>
      </c>
      <c r="F59" s="22">
        <f t="shared" si="12"/>
        <v>0</v>
      </c>
      <c r="G59" s="10">
        <f t="shared" si="13"/>
        <v>0</v>
      </c>
      <c r="H59" s="42"/>
      <c r="I59" s="39"/>
      <c r="J59" s="39"/>
      <c r="K59" s="39"/>
    </row>
    <row r="60" spans="1:11" x14ac:dyDescent="0.15">
      <c r="A60" s="20">
        <v>0</v>
      </c>
      <c r="B60" s="20">
        <v>0</v>
      </c>
      <c r="C60" s="21">
        <f t="shared" si="14"/>
        <v>0</v>
      </c>
      <c r="D60" s="6">
        <v>1.2999999999999999E-2</v>
      </c>
      <c r="F60" s="22">
        <f t="shared" si="12"/>
        <v>0</v>
      </c>
      <c r="G60" s="10">
        <f t="shared" si="13"/>
        <v>0</v>
      </c>
      <c r="H60" s="43"/>
      <c r="I60" s="39"/>
      <c r="J60" s="39"/>
      <c r="K60" s="39"/>
    </row>
    <row r="61" spans="1:11" ht="6.75" customHeight="1" x14ac:dyDescent="0.15">
      <c r="A61" s="28"/>
      <c r="B61" s="28"/>
      <c r="C61" s="29"/>
      <c r="D61" s="30"/>
      <c r="F61" s="31"/>
      <c r="G61" s="26"/>
      <c r="H61" s="26"/>
      <c r="I61" s="26"/>
      <c r="J61" s="26"/>
      <c r="K61" s="26"/>
    </row>
    <row r="62" spans="1:11" x14ac:dyDescent="0.15">
      <c r="A62" s="7" t="s">
        <v>30</v>
      </c>
      <c r="B62" s="25" t="s">
        <v>9</v>
      </c>
      <c r="C62" s="8" t="s">
        <v>34</v>
      </c>
      <c r="D62" s="18" t="str">
        <f>$K$5</f>
        <v>psi</v>
      </c>
      <c r="F62" s="14" t="s">
        <v>30</v>
      </c>
      <c r="G62" s="9" t="str">
        <f>B62</f>
        <v>CH6</v>
      </c>
      <c r="H62" s="4"/>
      <c r="I62" s="8"/>
      <c r="J62" s="3"/>
      <c r="K62" s="9"/>
    </row>
    <row r="63" spans="1:11" ht="15" customHeight="1" x14ac:dyDescent="0.15">
      <c r="A63" s="49" t="s">
        <v>31</v>
      </c>
      <c r="B63" s="48" t="s">
        <v>32</v>
      </c>
      <c r="C63" s="53" t="s">
        <v>33</v>
      </c>
      <c r="D63" s="54" t="s">
        <v>3</v>
      </c>
      <c r="F63" s="33" t="s">
        <v>31</v>
      </c>
      <c r="G63" s="36" t="s">
        <v>36</v>
      </c>
      <c r="H63" s="38" t="s">
        <v>22</v>
      </c>
      <c r="I63" s="40" t="s">
        <v>42</v>
      </c>
      <c r="J63" s="40"/>
      <c r="K63" s="40"/>
    </row>
    <row r="64" spans="1:11" x14ac:dyDescent="0.15">
      <c r="A64" s="52"/>
      <c r="B64" s="49"/>
      <c r="C64" s="51"/>
      <c r="D64" s="54"/>
      <c r="F64" s="32" t="str">
        <f>"（"&amp;$K$5&amp;"）"</f>
        <v>（psi）</v>
      </c>
      <c r="G64" s="37"/>
      <c r="H64" s="38"/>
      <c r="I64" s="40"/>
      <c r="J64" s="40"/>
      <c r="K64" s="40"/>
    </row>
    <row r="65" spans="1:11" x14ac:dyDescent="0.15">
      <c r="A65" s="20">
        <v>0</v>
      </c>
      <c r="B65" s="20">
        <v>0</v>
      </c>
      <c r="C65" s="21">
        <f>B65-A65</f>
        <v>0</v>
      </c>
      <c r="D65" s="6">
        <v>1.2999999999999999E-2</v>
      </c>
      <c r="F65" s="22">
        <f t="shared" ref="F65:F71" si="15">A65</f>
        <v>0</v>
      </c>
      <c r="G65" s="10">
        <f t="shared" ref="G65:G71" si="16">ABS(C65)/($K$6-$I$6)</f>
        <v>0</v>
      </c>
      <c r="H65" s="41">
        <f>MAX(G65:G71)</f>
        <v>0</v>
      </c>
      <c r="I65" s="39"/>
      <c r="J65" s="39"/>
      <c r="K65" s="39"/>
    </row>
    <row r="66" spans="1:11" x14ac:dyDescent="0.15">
      <c r="A66" s="20">
        <v>0</v>
      </c>
      <c r="B66" s="20">
        <v>0</v>
      </c>
      <c r="C66" s="21">
        <f t="shared" ref="C66:C71" si="17">B66-A66</f>
        <v>0</v>
      </c>
      <c r="D66" s="6">
        <v>1.2999999999999999E-2</v>
      </c>
      <c r="F66" s="22">
        <f t="shared" si="15"/>
        <v>0</v>
      </c>
      <c r="G66" s="10">
        <f t="shared" si="16"/>
        <v>0</v>
      </c>
      <c r="H66" s="42"/>
      <c r="I66" s="39"/>
      <c r="J66" s="39"/>
      <c r="K66" s="39"/>
    </row>
    <row r="67" spans="1:11" x14ac:dyDescent="0.15">
      <c r="A67" s="20">
        <v>0</v>
      </c>
      <c r="B67" s="20">
        <v>0</v>
      </c>
      <c r="C67" s="21">
        <f t="shared" si="17"/>
        <v>0</v>
      </c>
      <c r="D67" s="6">
        <v>1.2999999999999999E-2</v>
      </c>
      <c r="F67" s="22">
        <f t="shared" si="15"/>
        <v>0</v>
      </c>
      <c r="G67" s="10">
        <f t="shared" si="16"/>
        <v>0</v>
      </c>
      <c r="H67" s="42"/>
      <c r="I67" s="39"/>
      <c r="J67" s="39"/>
      <c r="K67" s="39"/>
    </row>
    <row r="68" spans="1:11" x14ac:dyDescent="0.15">
      <c r="A68" s="20">
        <v>0</v>
      </c>
      <c r="B68" s="20">
        <v>0</v>
      </c>
      <c r="C68" s="21">
        <f t="shared" si="17"/>
        <v>0</v>
      </c>
      <c r="D68" s="6">
        <v>1.2999999999999999E-2</v>
      </c>
      <c r="F68" s="22">
        <f t="shared" si="15"/>
        <v>0</v>
      </c>
      <c r="G68" s="10">
        <f t="shared" si="16"/>
        <v>0</v>
      </c>
      <c r="H68" s="42"/>
      <c r="I68" s="39"/>
      <c r="J68" s="39"/>
      <c r="K68" s="39"/>
    </row>
    <row r="69" spans="1:11" x14ac:dyDescent="0.15">
      <c r="A69" s="20">
        <v>0</v>
      </c>
      <c r="B69" s="20">
        <v>0</v>
      </c>
      <c r="C69" s="21">
        <f t="shared" si="17"/>
        <v>0</v>
      </c>
      <c r="D69" s="6">
        <v>1.2999999999999999E-2</v>
      </c>
      <c r="F69" s="22">
        <f t="shared" si="15"/>
        <v>0</v>
      </c>
      <c r="G69" s="10">
        <f t="shared" si="16"/>
        <v>0</v>
      </c>
      <c r="H69" s="42"/>
      <c r="I69" s="39"/>
      <c r="J69" s="39"/>
      <c r="K69" s="39"/>
    </row>
    <row r="70" spans="1:11" x14ac:dyDescent="0.15">
      <c r="A70" s="20">
        <v>0</v>
      </c>
      <c r="B70" s="20">
        <v>0</v>
      </c>
      <c r="C70" s="21">
        <f t="shared" si="17"/>
        <v>0</v>
      </c>
      <c r="D70" s="6">
        <v>1.2999999999999999E-2</v>
      </c>
      <c r="F70" s="22">
        <f t="shared" si="15"/>
        <v>0</v>
      </c>
      <c r="G70" s="10">
        <f t="shared" si="16"/>
        <v>0</v>
      </c>
      <c r="H70" s="42"/>
      <c r="I70" s="39"/>
      <c r="J70" s="39"/>
      <c r="K70" s="39"/>
    </row>
    <row r="71" spans="1:11" x14ac:dyDescent="0.15">
      <c r="A71" s="20">
        <v>0</v>
      </c>
      <c r="B71" s="20">
        <v>0</v>
      </c>
      <c r="C71" s="21">
        <f t="shared" si="17"/>
        <v>0</v>
      </c>
      <c r="D71" s="6">
        <v>1.2999999999999999E-2</v>
      </c>
      <c r="F71" s="22">
        <f t="shared" si="15"/>
        <v>0</v>
      </c>
      <c r="G71" s="10">
        <f t="shared" si="16"/>
        <v>0</v>
      </c>
      <c r="H71" s="43"/>
      <c r="I71" s="39"/>
      <c r="J71" s="39"/>
      <c r="K71" s="39"/>
    </row>
    <row r="72" spans="1:11" ht="8.25" customHeight="1" x14ac:dyDescent="0.15">
      <c r="A72" s="28"/>
      <c r="B72" s="28"/>
      <c r="C72" s="29"/>
      <c r="D72" s="30"/>
      <c r="F72" s="31"/>
      <c r="G72" s="26"/>
      <c r="H72" s="26"/>
      <c r="I72" s="26"/>
      <c r="J72" s="26"/>
      <c r="K72" s="26"/>
    </row>
    <row r="73" spans="1:11" x14ac:dyDescent="0.15">
      <c r="A73" s="7" t="s">
        <v>30</v>
      </c>
      <c r="B73" s="25" t="s">
        <v>10</v>
      </c>
      <c r="C73" s="8" t="s">
        <v>34</v>
      </c>
      <c r="D73" s="18" t="str">
        <f>$K$5</f>
        <v>psi</v>
      </c>
      <c r="F73" s="14" t="s">
        <v>30</v>
      </c>
      <c r="G73" s="9" t="str">
        <f>B73</f>
        <v>CH7</v>
      </c>
      <c r="H73" s="4"/>
      <c r="I73" s="8"/>
      <c r="J73" s="3"/>
      <c r="K73" s="9"/>
    </row>
    <row r="74" spans="1:11" ht="15" customHeight="1" x14ac:dyDescent="0.15">
      <c r="A74" s="49" t="s">
        <v>31</v>
      </c>
      <c r="B74" s="48" t="s">
        <v>32</v>
      </c>
      <c r="C74" s="53" t="s">
        <v>33</v>
      </c>
      <c r="D74" s="54" t="s">
        <v>3</v>
      </c>
      <c r="F74" s="33" t="s">
        <v>31</v>
      </c>
      <c r="G74" s="36" t="s">
        <v>36</v>
      </c>
      <c r="H74" s="38" t="s">
        <v>22</v>
      </c>
      <c r="I74" s="40" t="s">
        <v>42</v>
      </c>
      <c r="J74" s="40"/>
      <c r="K74" s="40"/>
    </row>
    <row r="75" spans="1:11" x14ac:dyDescent="0.15">
      <c r="A75" s="52"/>
      <c r="B75" s="49"/>
      <c r="C75" s="51"/>
      <c r="D75" s="54"/>
      <c r="F75" s="32" t="str">
        <f>"（"&amp;$K$5&amp;"）"</f>
        <v>（psi）</v>
      </c>
      <c r="G75" s="37"/>
      <c r="H75" s="38"/>
      <c r="I75" s="40"/>
      <c r="J75" s="40"/>
      <c r="K75" s="40"/>
    </row>
    <row r="76" spans="1:11" x14ac:dyDescent="0.15">
      <c r="A76" s="20">
        <v>0</v>
      </c>
      <c r="B76" s="20">
        <v>0</v>
      </c>
      <c r="C76" s="21">
        <f>B76-A76</f>
        <v>0</v>
      </c>
      <c r="D76" s="6">
        <v>1.2999999999999999E-2</v>
      </c>
      <c r="F76" s="22">
        <f t="shared" ref="F76:F82" si="18">A76</f>
        <v>0</v>
      </c>
      <c r="G76" s="10">
        <f t="shared" ref="G76:G82" si="19">ABS(C76)/($K$6-$I$6)</f>
        <v>0</v>
      </c>
      <c r="H76" s="41">
        <f>MAX(G76:G82)</f>
        <v>0</v>
      </c>
      <c r="I76" s="39"/>
      <c r="J76" s="39"/>
      <c r="K76" s="39"/>
    </row>
    <row r="77" spans="1:11" x14ac:dyDescent="0.15">
      <c r="A77" s="20">
        <v>0</v>
      </c>
      <c r="B77" s="20">
        <v>0</v>
      </c>
      <c r="C77" s="21">
        <f t="shared" ref="C77:C82" si="20">B77-A77</f>
        <v>0</v>
      </c>
      <c r="D77" s="6">
        <v>1.2999999999999999E-2</v>
      </c>
      <c r="F77" s="22">
        <f t="shared" si="18"/>
        <v>0</v>
      </c>
      <c r="G77" s="10">
        <f t="shared" si="19"/>
        <v>0</v>
      </c>
      <c r="H77" s="42"/>
      <c r="I77" s="39"/>
      <c r="J77" s="39"/>
      <c r="K77" s="39"/>
    </row>
    <row r="78" spans="1:11" x14ac:dyDescent="0.15">
      <c r="A78" s="20">
        <v>0</v>
      </c>
      <c r="B78" s="20">
        <v>0</v>
      </c>
      <c r="C78" s="21">
        <f t="shared" si="20"/>
        <v>0</v>
      </c>
      <c r="D78" s="6">
        <v>1.2999999999999999E-2</v>
      </c>
      <c r="F78" s="22">
        <f t="shared" si="18"/>
        <v>0</v>
      </c>
      <c r="G78" s="10">
        <f t="shared" si="19"/>
        <v>0</v>
      </c>
      <c r="H78" s="42"/>
      <c r="I78" s="39"/>
      <c r="J78" s="39"/>
      <c r="K78" s="39"/>
    </row>
    <row r="79" spans="1:11" x14ac:dyDescent="0.15">
      <c r="A79" s="20">
        <v>0</v>
      </c>
      <c r="B79" s="20">
        <v>0</v>
      </c>
      <c r="C79" s="21">
        <f t="shared" si="20"/>
        <v>0</v>
      </c>
      <c r="D79" s="6">
        <v>1.2999999999999999E-2</v>
      </c>
      <c r="F79" s="22">
        <f t="shared" si="18"/>
        <v>0</v>
      </c>
      <c r="G79" s="10">
        <f t="shared" si="19"/>
        <v>0</v>
      </c>
      <c r="H79" s="42"/>
      <c r="I79" s="39"/>
      <c r="J79" s="39"/>
      <c r="K79" s="39"/>
    </row>
    <row r="80" spans="1:11" x14ac:dyDescent="0.15">
      <c r="A80" s="20">
        <v>0</v>
      </c>
      <c r="B80" s="20">
        <v>0</v>
      </c>
      <c r="C80" s="21">
        <f t="shared" si="20"/>
        <v>0</v>
      </c>
      <c r="D80" s="6">
        <v>1.2999999999999999E-2</v>
      </c>
      <c r="F80" s="22">
        <f t="shared" si="18"/>
        <v>0</v>
      </c>
      <c r="G80" s="10">
        <f t="shared" si="19"/>
        <v>0</v>
      </c>
      <c r="H80" s="42"/>
      <c r="I80" s="39"/>
      <c r="J80" s="39"/>
      <c r="K80" s="39"/>
    </row>
    <row r="81" spans="1:11" x14ac:dyDescent="0.15">
      <c r="A81" s="20">
        <v>0</v>
      </c>
      <c r="B81" s="20">
        <v>0</v>
      </c>
      <c r="C81" s="21">
        <f t="shared" si="20"/>
        <v>0</v>
      </c>
      <c r="D81" s="6">
        <v>1.2999999999999999E-2</v>
      </c>
      <c r="F81" s="22">
        <f t="shared" si="18"/>
        <v>0</v>
      </c>
      <c r="G81" s="10">
        <f t="shared" si="19"/>
        <v>0</v>
      </c>
      <c r="H81" s="42"/>
      <c r="I81" s="39"/>
      <c r="J81" s="39"/>
      <c r="K81" s="39"/>
    </row>
    <row r="82" spans="1:11" x14ac:dyDescent="0.15">
      <c r="A82" s="20">
        <v>0</v>
      </c>
      <c r="B82" s="20">
        <v>0</v>
      </c>
      <c r="C82" s="21">
        <f t="shared" si="20"/>
        <v>0</v>
      </c>
      <c r="D82" s="6">
        <v>1.2999999999999999E-2</v>
      </c>
      <c r="F82" s="22">
        <f t="shared" si="18"/>
        <v>0</v>
      </c>
      <c r="G82" s="10">
        <f t="shared" si="19"/>
        <v>0</v>
      </c>
      <c r="H82" s="43"/>
      <c r="I82" s="39"/>
      <c r="J82" s="39"/>
      <c r="K82" s="39"/>
    </row>
    <row r="83" spans="1:11" ht="8.25" customHeight="1" x14ac:dyDescent="0.15">
      <c r="A83" s="28"/>
      <c r="B83" s="28"/>
      <c r="C83" s="29"/>
      <c r="D83" s="30"/>
      <c r="F83" s="31"/>
      <c r="G83" s="26"/>
      <c r="H83" s="26"/>
      <c r="I83" s="26"/>
      <c r="J83" s="26"/>
      <c r="K83" s="26"/>
    </row>
    <row r="84" spans="1:11" x14ac:dyDescent="0.15">
      <c r="A84" s="7" t="s">
        <v>30</v>
      </c>
      <c r="B84" s="25" t="s">
        <v>11</v>
      </c>
      <c r="C84" s="8" t="s">
        <v>34</v>
      </c>
      <c r="D84" s="18" t="str">
        <f>$K$5</f>
        <v>psi</v>
      </c>
      <c r="F84" s="14" t="s">
        <v>30</v>
      </c>
      <c r="G84" s="9" t="str">
        <f>B84</f>
        <v>CH8</v>
      </c>
      <c r="H84" s="4"/>
      <c r="I84" s="8"/>
      <c r="J84" s="3"/>
      <c r="K84" s="9"/>
    </row>
    <row r="85" spans="1:11" ht="15" customHeight="1" x14ac:dyDescent="0.15">
      <c r="A85" s="49" t="s">
        <v>31</v>
      </c>
      <c r="B85" s="48" t="s">
        <v>32</v>
      </c>
      <c r="C85" s="53" t="s">
        <v>33</v>
      </c>
      <c r="D85" s="54" t="s">
        <v>3</v>
      </c>
      <c r="F85" s="33" t="s">
        <v>31</v>
      </c>
      <c r="G85" s="36" t="s">
        <v>36</v>
      </c>
      <c r="H85" s="38" t="s">
        <v>22</v>
      </c>
      <c r="I85" s="40" t="s">
        <v>42</v>
      </c>
      <c r="J85" s="40"/>
      <c r="K85" s="40"/>
    </row>
    <row r="86" spans="1:11" x14ac:dyDescent="0.15">
      <c r="A86" s="52"/>
      <c r="B86" s="49"/>
      <c r="C86" s="51"/>
      <c r="D86" s="54"/>
      <c r="F86" s="32" t="str">
        <f>"（"&amp;$K$5&amp;"）"</f>
        <v>（psi）</v>
      </c>
      <c r="G86" s="37"/>
      <c r="H86" s="38"/>
      <c r="I86" s="40"/>
      <c r="J86" s="40"/>
      <c r="K86" s="40"/>
    </row>
    <row r="87" spans="1:11" x14ac:dyDescent="0.15">
      <c r="A87" s="20">
        <v>0</v>
      </c>
      <c r="B87" s="20">
        <v>0</v>
      </c>
      <c r="C87" s="21">
        <f>B87-A87</f>
        <v>0</v>
      </c>
      <c r="D87" s="6">
        <v>1.2999999999999999E-2</v>
      </c>
      <c r="F87" s="22">
        <f t="shared" ref="F87:F93" si="21">A87</f>
        <v>0</v>
      </c>
      <c r="G87" s="10">
        <f t="shared" ref="G87:G93" si="22">ABS(C87)/($K$6-$I$6)</f>
        <v>0</v>
      </c>
      <c r="H87" s="41">
        <f>MAX(G87:G93)</f>
        <v>0</v>
      </c>
      <c r="I87" s="39"/>
      <c r="J87" s="39"/>
      <c r="K87" s="39"/>
    </row>
    <row r="88" spans="1:11" x14ac:dyDescent="0.15">
      <c r="A88" s="20">
        <v>0</v>
      </c>
      <c r="B88" s="20">
        <v>0</v>
      </c>
      <c r="C88" s="21">
        <f t="shared" ref="C88:C93" si="23">B88-A88</f>
        <v>0</v>
      </c>
      <c r="D88" s="6">
        <v>1.2999999999999999E-2</v>
      </c>
      <c r="F88" s="22">
        <f t="shared" si="21"/>
        <v>0</v>
      </c>
      <c r="G88" s="10">
        <f t="shared" si="22"/>
        <v>0</v>
      </c>
      <c r="H88" s="42"/>
      <c r="I88" s="39"/>
      <c r="J88" s="39"/>
      <c r="K88" s="39"/>
    </row>
    <row r="89" spans="1:11" x14ac:dyDescent="0.15">
      <c r="A89" s="20">
        <v>0</v>
      </c>
      <c r="B89" s="20">
        <v>0</v>
      </c>
      <c r="C89" s="21">
        <f t="shared" si="23"/>
        <v>0</v>
      </c>
      <c r="D89" s="6">
        <v>1.2999999999999999E-2</v>
      </c>
      <c r="F89" s="22">
        <f t="shared" si="21"/>
        <v>0</v>
      </c>
      <c r="G89" s="10">
        <f t="shared" si="22"/>
        <v>0</v>
      </c>
      <c r="H89" s="42"/>
      <c r="I89" s="39"/>
      <c r="J89" s="39"/>
      <c r="K89" s="39"/>
    </row>
    <row r="90" spans="1:11" x14ac:dyDescent="0.15">
      <c r="A90" s="20">
        <v>0</v>
      </c>
      <c r="B90" s="20">
        <v>0</v>
      </c>
      <c r="C90" s="21">
        <f t="shared" si="23"/>
        <v>0</v>
      </c>
      <c r="D90" s="6">
        <v>1.2999999999999999E-2</v>
      </c>
      <c r="F90" s="22">
        <f t="shared" si="21"/>
        <v>0</v>
      </c>
      <c r="G90" s="10">
        <f t="shared" si="22"/>
        <v>0</v>
      </c>
      <c r="H90" s="42"/>
      <c r="I90" s="39"/>
      <c r="J90" s="39"/>
      <c r="K90" s="39"/>
    </row>
    <row r="91" spans="1:11" x14ac:dyDescent="0.15">
      <c r="A91" s="20">
        <v>0</v>
      </c>
      <c r="B91" s="20">
        <v>0</v>
      </c>
      <c r="C91" s="21">
        <f t="shared" si="23"/>
        <v>0</v>
      </c>
      <c r="D91" s="6">
        <v>1.2999999999999999E-2</v>
      </c>
      <c r="F91" s="22">
        <f t="shared" si="21"/>
        <v>0</v>
      </c>
      <c r="G91" s="10">
        <f t="shared" si="22"/>
        <v>0</v>
      </c>
      <c r="H91" s="42"/>
      <c r="I91" s="39"/>
      <c r="J91" s="39"/>
      <c r="K91" s="39"/>
    </row>
    <row r="92" spans="1:11" x14ac:dyDescent="0.15">
      <c r="A92" s="20">
        <v>0</v>
      </c>
      <c r="B92" s="20">
        <v>0</v>
      </c>
      <c r="C92" s="21">
        <f t="shared" si="23"/>
        <v>0</v>
      </c>
      <c r="D92" s="6">
        <v>1.2999999999999999E-2</v>
      </c>
      <c r="F92" s="22">
        <f t="shared" si="21"/>
        <v>0</v>
      </c>
      <c r="G92" s="10">
        <f t="shared" si="22"/>
        <v>0</v>
      </c>
      <c r="H92" s="42"/>
      <c r="I92" s="39"/>
      <c r="J92" s="39"/>
      <c r="K92" s="39"/>
    </row>
    <row r="93" spans="1:11" x14ac:dyDescent="0.15">
      <c r="A93" s="20">
        <v>0</v>
      </c>
      <c r="B93" s="20">
        <v>0</v>
      </c>
      <c r="C93" s="21">
        <f t="shared" si="23"/>
        <v>0</v>
      </c>
      <c r="D93" s="6">
        <v>1.2999999999999999E-2</v>
      </c>
      <c r="F93" s="22">
        <f t="shared" si="21"/>
        <v>0</v>
      </c>
      <c r="G93" s="10">
        <f t="shared" si="22"/>
        <v>0</v>
      </c>
      <c r="H93" s="43"/>
      <c r="I93" s="39"/>
      <c r="J93" s="39"/>
      <c r="K93" s="39"/>
    </row>
    <row r="94" spans="1:11" x14ac:dyDescent="0.15">
      <c r="A94" s="28"/>
      <c r="B94" s="28"/>
      <c r="C94" s="29"/>
      <c r="D94" s="30"/>
      <c r="F94" s="31"/>
      <c r="H94" s="26"/>
      <c r="I94" s="26"/>
      <c r="J94" s="26"/>
      <c r="K94" s="26"/>
    </row>
    <row r="95" spans="1:11" x14ac:dyDescent="0.15">
      <c r="A95" s="28"/>
      <c r="B95" s="28"/>
      <c r="C95" s="29"/>
      <c r="D95" s="30"/>
      <c r="F95" s="31"/>
      <c r="H95" s="26"/>
      <c r="I95" s="26"/>
      <c r="J95" s="26"/>
      <c r="K95" s="26"/>
    </row>
    <row r="96" spans="1:11" x14ac:dyDescent="0.15">
      <c r="A96" s="28"/>
      <c r="B96" s="28"/>
      <c r="C96" s="29"/>
      <c r="D96" s="30"/>
      <c r="F96" s="26"/>
      <c r="G96" s="26"/>
      <c r="H96" s="26"/>
      <c r="I96" s="26"/>
      <c r="J96" s="26"/>
      <c r="K96" s="26"/>
    </row>
    <row r="97" spans="1:11" x14ac:dyDescent="0.15">
      <c r="A97" s="7" t="s">
        <v>30</v>
      </c>
      <c r="B97" s="25" t="s">
        <v>12</v>
      </c>
      <c r="C97" s="8" t="s">
        <v>34</v>
      </c>
      <c r="D97" s="18" t="str">
        <f>$K$5</f>
        <v>psi</v>
      </c>
      <c r="F97" s="14" t="s">
        <v>30</v>
      </c>
      <c r="G97" s="9" t="str">
        <f>B97</f>
        <v>CH9</v>
      </c>
      <c r="H97" s="4"/>
      <c r="I97" s="8"/>
      <c r="J97" s="3"/>
      <c r="K97" s="9"/>
    </row>
    <row r="98" spans="1:11" ht="15" customHeight="1" x14ac:dyDescent="0.15">
      <c r="A98" s="49" t="s">
        <v>31</v>
      </c>
      <c r="B98" s="48" t="s">
        <v>32</v>
      </c>
      <c r="C98" s="53" t="s">
        <v>33</v>
      </c>
      <c r="D98" s="54" t="s">
        <v>3</v>
      </c>
      <c r="F98" s="33" t="s">
        <v>31</v>
      </c>
      <c r="G98" s="36" t="s">
        <v>36</v>
      </c>
      <c r="H98" s="38" t="s">
        <v>22</v>
      </c>
      <c r="I98" s="40" t="s">
        <v>42</v>
      </c>
      <c r="J98" s="40"/>
      <c r="K98" s="40"/>
    </row>
    <row r="99" spans="1:11" x14ac:dyDescent="0.15">
      <c r="A99" s="52"/>
      <c r="B99" s="49"/>
      <c r="C99" s="51"/>
      <c r="D99" s="54"/>
      <c r="F99" s="32" t="str">
        <f>"（"&amp;$K$5&amp;"）"</f>
        <v>（psi）</v>
      </c>
      <c r="G99" s="37"/>
      <c r="H99" s="38"/>
      <c r="I99" s="40"/>
      <c r="J99" s="40"/>
      <c r="K99" s="40"/>
    </row>
    <row r="100" spans="1:11" x14ac:dyDescent="0.15">
      <c r="A100" s="20">
        <v>0</v>
      </c>
      <c r="B100" s="20">
        <v>0</v>
      </c>
      <c r="C100" s="21">
        <f>B100-A100</f>
        <v>0</v>
      </c>
      <c r="D100" s="6">
        <v>1.2999999999999999E-2</v>
      </c>
      <c r="F100" s="22">
        <f t="shared" ref="F100:F106" si="24">A100</f>
        <v>0</v>
      </c>
      <c r="G100" s="10">
        <f t="shared" ref="G100:G106" si="25">ABS(C100)/($K$6-$I$6)</f>
        <v>0</v>
      </c>
      <c r="H100" s="41">
        <f>MAX(G100:G106)</f>
        <v>0</v>
      </c>
      <c r="I100" s="39"/>
      <c r="J100" s="39"/>
      <c r="K100" s="39"/>
    </row>
    <row r="101" spans="1:11" x14ac:dyDescent="0.15">
      <c r="A101" s="20">
        <v>0</v>
      </c>
      <c r="B101" s="20">
        <v>0</v>
      </c>
      <c r="C101" s="21">
        <f t="shared" ref="C101:C106" si="26">B101-A101</f>
        <v>0</v>
      </c>
      <c r="D101" s="6">
        <v>1.2999999999999999E-2</v>
      </c>
      <c r="F101" s="22">
        <f t="shared" si="24"/>
        <v>0</v>
      </c>
      <c r="G101" s="10">
        <f t="shared" si="25"/>
        <v>0</v>
      </c>
      <c r="H101" s="42"/>
      <c r="I101" s="39"/>
      <c r="J101" s="39"/>
      <c r="K101" s="39"/>
    </row>
    <row r="102" spans="1:11" x14ac:dyDescent="0.15">
      <c r="A102" s="20">
        <v>0</v>
      </c>
      <c r="B102" s="20">
        <v>0</v>
      </c>
      <c r="C102" s="21">
        <f t="shared" si="26"/>
        <v>0</v>
      </c>
      <c r="D102" s="6">
        <v>1.2999999999999999E-2</v>
      </c>
      <c r="F102" s="22">
        <f t="shared" si="24"/>
        <v>0</v>
      </c>
      <c r="G102" s="10">
        <f t="shared" si="25"/>
        <v>0</v>
      </c>
      <c r="H102" s="42"/>
      <c r="I102" s="39"/>
      <c r="J102" s="39"/>
      <c r="K102" s="39"/>
    </row>
    <row r="103" spans="1:11" x14ac:dyDescent="0.15">
      <c r="A103" s="20">
        <v>0</v>
      </c>
      <c r="B103" s="20">
        <v>0</v>
      </c>
      <c r="C103" s="21">
        <f t="shared" si="26"/>
        <v>0</v>
      </c>
      <c r="D103" s="6">
        <v>1.2999999999999999E-2</v>
      </c>
      <c r="F103" s="22">
        <f t="shared" si="24"/>
        <v>0</v>
      </c>
      <c r="G103" s="10">
        <f t="shared" si="25"/>
        <v>0</v>
      </c>
      <c r="H103" s="42"/>
      <c r="I103" s="39"/>
      <c r="J103" s="39"/>
      <c r="K103" s="39"/>
    </row>
    <row r="104" spans="1:11" x14ac:dyDescent="0.15">
      <c r="A104" s="20">
        <v>0</v>
      </c>
      <c r="B104" s="20">
        <v>0</v>
      </c>
      <c r="C104" s="21">
        <f t="shared" si="26"/>
        <v>0</v>
      </c>
      <c r="D104" s="6">
        <v>1.2999999999999999E-2</v>
      </c>
      <c r="F104" s="22">
        <f t="shared" si="24"/>
        <v>0</v>
      </c>
      <c r="G104" s="10">
        <f t="shared" si="25"/>
        <v>0</v>
      </c>
      <c r="H104" s="42"/>
      <c r="I104" s="39"/>
      <c r="J104" s="39"/>
      <c r="K104" s="39"/>
    </row>
    <row r="105" spans="1:11" x14ac:dyDescent="0.15">
      <c r="A105" s="20">
        <v>0</v>
      </c>
      <c r="B105" s="20">
        <v>0</v>
      </c>
      <c r="C105" s="21">
        <f t="shared" si="26"/>
        <v>0</v>
      </c>
      <c r="D105" s="6">
        <v>1.2999999999999999E-2</v>
      </c>
      <c r="F105" s="22">
        <f t="shared" si="24"/>
        <v>0</v>
      </c>
      <c r="G105" s="10">
        <f t="shared" si="25"/>
        <v>0</v>
      </c>
      <c r="H105" s="42"/>
      <c r="I105" s="39"/>
      <c r="J105" s="39"/>
      <c r="K105" s="39"/>
    </row>
    <row r="106" spans="1:11" x14ac:dyDescent="0.15">
      <c r="A106" s="20">
        <v>0</v>
      </c>
      <c r="B106" s="20">
        <v>0</v>
      </c>
      <c r="C106" s="21">
        <f t="shared" si="26"/>
        <v>0</v>
      </c>
      <c r="D106" s="6">
        <v>1.2999999999999999E-2</v>
      </c>
      <c r="F106" s="22">
        <f t="shared" si="24"/>
        <v>0</v>
      </c>
      <c r="G106" s="10">
        <f t="shared" si="25"/>
        <v>0</v>
      </c>
      <c r="H106" s="43"/>
      <c r="I106" s="39"/>
      <c r="J106" s="39"/>
      <c r="K106" s="39"/>
    </row>
    <row r="107" spans="1:11" ht="8.25" customHeight="1" x14ac:dyDescent="0.15">
      <c r="A107" s="28"/>
      <c r="B107" s="28"/>
      <c r="C107" s="29"/>
      <c r="D107" s="30"/>
      <c r="F107" s="31"/>
      <c r="G107" s="26"/>
      <c r="H107" s="26"/>
      <c r="I107" s="26"/>
      <c r="J107" s="26"/>
      <c r="K107" s="26"/>
    </row>
    <row r="108" spans="1:11" x14ac:dyDescent="0.15">
      <c r="A108" s="7" t="s">
        <v>30</v>
      </c>
      <c r="B108" s="25" t="s">
        <v>13</v>
      </c>
      <c r="C108" s="8" t="s">
        <v>34</v>
      </c>
      <c r="D108" s="18" t="str">
        <f>$K$5</f>
        <v>psi</v>
      </c>
      <c r="F108" s="14" t="s">
        <v>30</v>
      </c>
      <c r="G108" s="9" t="str">
        <f>B108</f>
        <v>CH10</v>
      </c>
      <c r="H108" s="4"/>
      <c r="I108" s="8"/>
      <c r="J108" s="3"/>
      <c r="K108" s="9"/>
    </row>
    <row r="109" spans="1:11" ht="15" customHeight="1" x14ac:dyDescent="0.15">
      <c r="A109" s="49" t="s">
        <v>31</v>
      </c>
      <c r="B109" s="48" t="s">
        <v>32</v>
      </c>
      <c r="C109" s="53" t="s">
        <v>33</v>
      </c>
      <c r="D109" s="54" t="s">
        <v>3</v>
      </c>
      <c r="F109" s="33" t="s">
        <v>31</v>
      </c>
      <c r="G109" s="36" t="s">
        <v>36</v>
      </c>
      <c r="H109" s="38" t="s">
        <v>22</v>
      </c>
      <c r="I109" s="40" t="s">
        <v>42</v>
      </c>
      <c r="J109" s="40"/>
      <c r="K109" s="40"/>
    </row>
    <row r="110" spans="1:11" x14ac:dyDescent="0.15">
      <c r="A110" s="52"/>
      <c r="B110" s="49"/>
      <c r="C110" s="51"/>
      <c r="D110" s="54"/>
      <c r="F110" s="32" t="str">
        <f>"（"&amp;$K$5&amp;"）"</f>
        <v>（psi）</v>
      </c>
      <c r="G110" s="37"/>
      <c r="H110" s="38"/>
      <c r="I110" s="40"/>
      <c r="J110" s="40"/>
      <c r="K110" s="40"/>
    </row>
    <row r="111" spans="1:11" x14ac:dyDescent="0.15">
      <c r="A111" s="20">
        <v>0</v>
      </c>
      <c r="B111" s="20">
        <v>0</v>
      </c>
      <c r="C111" s="21">
        <f>B111-A111</f>
        <v>0</v>
      </c>
      <c r="D111" s="6">
        <v>1.2999999999999999E-2</v>
      </c>
      <c r="F111" s="22">
        <f t="shared" ref="F111:F117" si="27">A111</f>
        <v>0</v>
      </c>
      <c r="G111" s="10">
        <f t="shared" ref="G111:G117" si="28">ABS(C111)/($K$6-$I$6)</f>
        <v>0</v>
      </c>
      <c r="H111" s="41">
        <f>MAX(G111:G117)</f>
        <v>0</v>
      </c>
      <c r="I111" s="39"/>
      <c r="J111" s="39"/>
      <c r="K111" s="39"/>
    </row>
    <row r="112" spans="1:11" x14ac:dyDescent="0.15">
      <c r="A112" s="20">
        <v>0</v>
      </c>
      <c r="B112" s="20">
        <v>0</v>
      </c>
      <c r="C112" s="21">
        <f t="shared" ref="C112:C117" si="29">B112-A112</f>
        <v>0</v>
      </c>
      <c r="D112" s="6">
        <v>1.2999999999999999E-2</v>
      </c>
      <c r="F112" s="22">
        <f t="shared" si="27"/>
        <v>0</v>
      </c>
      <c r="G112" s="10">
        <f t="shared" si="28"/>
        <v>0</v>
      </c>
      <c r="H112" s="42"/>
      <c r="I112" s="39"/>
      <c r="J112" s="39"/>
      <c r="K112" s="39"/>
    </row>
    <row r="113" spans="1:11" x14ac:dyDescent="0.15">
      <c r="A113" s="20">
        <v>0</v>
      </c>
      <c r="B113" s="20">
        <v>0</v>
      </c>
      <c r="C113" s="21">
        <f t="shared" si="29"/>
        <v>0</v>
      </c>
      <c r="D113" s="6">
        <v>1.2999999999999999E-2</v>
      </c>
      <c r="F113" s="22">
        <f t="shared" si="27"/>
        <v>0</v>
      </c>
      <c r="G113" s="10">
        <f t="shared" si="28"/>
        <v>0</v>
      </c>
      <c r="H113" s="42"/>
      <c r="I113" s="39"/>
      <c r="J113" s="39"/>
      <c r="K113" s="39"/>
    </row>
    <row r="114" spans="1:11" x14ac:dyDescent="0.15">
      <c r="A114" s="20">
        <v>0</v>
      </c>
      <c r="B114" s="20">
        <v>0</v>
      </c>
      <c r="C114" s="21">
        <f t="shared" si="29"/>
        <v>0</v>
      </c>
      <c r="D114" s="6">
        <v>1.2999999999999999E-2</v>
      </c>
      <c r="F114" s="22">
        <f t="shared" si="27"/>
        <v>0</v>
      </c>
      <c r="G114" s="10">
        <f t="shared" si="28"/>
        <v>0</v>
      </c>
      <c r="H114" s="42"/>
      <c r="I114" s="39"/>
      <c r="J114" s="39"/>
      <c r="K114" s="39"/>
    </row>
    <row r="115" spans="1:11" x14ac:dyDescent="0.15">
      <c r="A115" s="20">
        <v>0</v>
      </c>
      <c r="B115" s="20">
        <v>0</v>
      </c>
      <c r="C115" s="21">
        <f t="shared" si="29"/>
        <v>0</v>
      </c>
      <c r="D115" s="6">
        <v>1.2999999999999999E-2</v>
      </c>
      <c r="F115" s="22">
        <f t="shared" si="27"/>
        <v>0</v>
      </c>
      <c r="G115" s="10">
        <f t="shared" si="28"/>
        <v>0</v>
      </c>
      <c r="H115" s="42"/>
      <c r="I115" s="39"/>
      <c r="J115" s="39"/>
      <c r="K115" s="39"/>
    </row>
    <row r="116" spans="1:11" x14ac:dyDescent="0.15">
      <c r="A116" s="20">
        <v>0</v>
      </c>
      <c r="B116" s="20">
        <v>0</v>
      </c>
      <c r="C116" s="21">
        <f t="shared" si="29"/>
        <v>0</v>
      </c>
      <c r="D116" s="6">
        <v>1.2999999999999999E-2</v>
      </c>
      <c r="F116" s="22">
        <f t="shared" si="27"/>
        <v>0</v>
      </c>
      <c r="G116" s="10">
        <f t="shared" si="28"/>
        <v>0</v>
      </c>
      <c r="H116" s="42"/>
      <c r="I116" s="39"/>
      <c r="J116" s="39"/>
      <c r="K116" s="39"/>
    </row>
    <row r="117" spans="1:11" x14ac:dyDescent="0.15">
      <c r="A117" s="20">
        <v>0</v>
      </c>
      <c r="B117" s="20">
        <v>0</v>
      </c>
      <c r="C117" s="21">
        <f t="shared" si="29"/>
        <v>0</v>
      </c>
      <c r="D117" s="6">
        <v>1.2999999999999999E-2</v>
      </c>
      <c r="F117" s="22">
        <f t="shared" si="27"/>
        <v>0</v>
      </c>
      <c r="G117" s="10">
        <f t="shared" si="28"/>
        <v>0</v>
      </c>
      <c r="H117" s="43"/>
      <c r="I117" s="39"/>
      <c r="J117" s="39"/>
      <c r="K117" s="39"/>
    </row>
    <row r="118" spans="1:11" ht="8.25" customHeight="1" x14ac:dyDescent="0.15">
      <c r="A118" s="28"/>
      <c r="B118" s="28"/>
      <c r="C118" s="29"/>
      <c r="D118" s="30"/>
      <c r="F118" s="26"/>
      <c r="G118" s="26"/>
      <c r="H118" s="26"/>
      <c r="I118" s="26"/>
      <c r="J118" s="26"/>
      <c r="K118" s="26"/>
    </row>
    <row r="119" spans="1:11" x14ac:dyDescent="0.15">
      <c r="A119" s="7" t="s">
        <v>30</v>
      </c>
      <c r="B119" s="25" t="s">
        <v>14</v>
      </c>
      <c r="C119" s="8" t="s">
        <v>34</v>
      </c>
      <c r="D119" s="18" t="str">
        <f>$K$5</f>
        <v>psi</v>
      </c>
      <c r="F119" s="14" t="s">
        <v>30</v>
      </c>
      <c r="G119" s="9" t="str">
        <f>B119</f>
        <v>CH11</v>
      </c>
      <c r="H119" s="4"/>
      <c r="I119" s="8"/>
      <c r="J119" s="3"/>
      <c r="K119" s="9"/>
    </row>
    <row r="120" spans="1:11" ht="15" customHeight="1" x14ac:dyDescent="0.15">
      <c r="A120" s="49" t="s">
        <v>31</v>
      </c>
      <c r="B120" s="48" t="s">
        <v>32</v>
      </c>
      <c r="C120" s="53" t="s">
        <v>33</v>
      </c>
      <c r="D120" s="54" t="s">
        <v>3</v>
      </c>
      <c r="F120" s="33" t="s">
        <v>31</v>
      </c>
      <c r="G120" s="36" t="s">
        <v>36</v>
      </c>
      <c r="H120" s="38" t="s">
        <v>22</v>
      </c>
      <c r="I120" s="40" t="s">
        <v>42</v>
      </c>
      <c r="J120" s="40"/>
      <c r="K120" s="40"/>
    </row>
    <row r="121" spans="1:11" x14ac:dyDescent="0.15">
      <c r="A121" s="52"/>
      <c r="B121" s="49"/>
      <c r="C121" s="51"/>
      <c r="D121" s="54"/>
      <c r="F121" s="32" t="str">
        <f>"（"&amp;$K$5&amp;"）"</f>
        <v>（psi）</v>
      </c>
      <c r="G121" s="37"/>
      <c r="H121" s="38"/>
      <c r="I121" s="40"/>
      <c r="J121" s="40"/>
      <c r="K121" s="40"/>
    </row>
    <row r="122" spans="1:11" x14ac:dyDescent="0.15">
      <c r="A122" s="20">
        <v>0</v>
      </c>
      <c r="B122" s="20">
        <v>0</v>
      </c>
      <c r="C122" s="21">
        <f>B122-A122</f>
        <v>0</v>
      </c>
      <c r="D122" s="6">
        <v>1.2999999999999999E-2</v>
      </c>
      <c r="F122" s="22">
        <f t="shared" ref="F122:F128" si="30">A122</f>
        <v>0</v>
      </c>
      <c r="G122" s="10">
        <f t="shared" ref="G122:G128" si="31">ABS(C122)/($K$6-$I$6)</f>
        <v>0</v>
      </c>
      <c r="H122" s="41">
        <f>MAX(G122:G128)</f>
        <v>0</v>
      </c>
      <c r="I122" s="39"/>
      <c r="J122" s="39"/>
      <c r="K122" s="39"/>
    </row>
    <row r="123" spans="1:11" x14ac:dyDescent="0.15">
      <c r="A123" s="20">
        <v>0</v>
      </c>
      <c r="B123" s="20">
        <v>0</v>
      </c>
      <c r="C123" s="21">
        <f t="shared" ref="C123:C128" si="32">B123-A123</f>
        <v>0</v>
      </c>
      <c r="D123" s="6">
        <v>1.2999999999999999E-2</v>
      </c>
      <c r="F123" s="22">
        <f t="shared" si="30"/>
        <v>0</v>
      </c>
      <c r="G123" s="10">
        <f t="shared" si="31"/>
        <v>0</v>
      </c>
      <c r="H123" s="42"/>
      <c r="I123" s="39"/>
      <c r="J123" s="39"/>
      <c r="K123" s="39"/>
    </row>
    <row r="124" spans="1:11" x14ac:dyDescent="0.15">
      <c r="A124" s="20">
        <v>0</v>
      </c>
      <c r="B124" s="20">
        <v>0</v>
      </c>
      <c r="C124" s="21">
        <f t="shared" si="32"/>
        <v>0</v>
      </c>
      <c r="D124" s="6">
        <v>1.2999999999999999E-2</v>
      </c>
      <c r="F124" s="22">
        <f t="shared" si="30"/>
        <v>0</v>
      </c>
      <c r="G124" s="10">
        <f t="shared" si="31"/>
        <v>0</v>
      </c>
      <c r="H124" s="42"/>
      <c r="I124" s="39"/>
      <c r="J124" s="39"/>
      <c r="K124" s="39"/>
    </row>
    <row r="125" spans="1:11" x14ac:dyDescent="0.15">
      <c r="A125" s="20">
        <v>0</v>
      </c>
      <c r="B125" s="20">
        <v>0</v>
      </c>
      <c r="C125" s="21">
        <f t="shared" si="32"/>
        <v>0</v>
      </c>
      <c r="D125" s="6">
        <v>1.2999999999999999E-2</v>
      </c>
      <c r="F125" s="22">
        <f t="shared" si="30"/>
        <v>0</v>
      </c>
      <c r="G125" s="10">
        <f t="shared" si="31"/>
        <v>0</v>
      </c>
      <c r="H125" s="42"/>
      <c r="I125" s="39"/>
      <c r="J125" s="39"/>
      <c r="K125" s="39"/>
    </row>
    <row r="126" spans="1:11" x14ac:dyDescent="0.15">
      <c r="A126" s="20">
        <v>0</v>
      </c>
      <c r="B126" s="20">
        <v>0</v>
      </c>
      <c r="C126" s="21">
        <f t="shared" si="32"/>
        <v>0</v>
      </c>
      <c r="D126" s="6">
        <v>1.2999999999999999E-2</v>
      </c>
      <c r="F126" s="22">
        <f t="shared" si="30"/>
        <v>0</v>
      </c>
      <c r="G126" s="10">
        <f t="shared" si="31"/>
        <v>0</v>
      </c>
      <c r="H126" s="42"/>
      <c r="I126" s="39"/>
      <c r="J126" s="39"/>
      <c r="K126" s="39"/>
    </row>
    <row r="127" spans="1:11" x14ac:dyDescent="0.15">
      <c r="A127" s="20">
        <v>0</v>
      </c>
      <c r="B127" s="20">
        <v>0</v>
      </c>
      <c r="C127" s="21">
        <f t="shared" si="32"/>
        <v>0</v>
      </c>
      <c r="D127" s="6">
        <v>1.2999999999999999E-2</v>
      </c>
      <c r="F127" s="22">
        <f t="shared" si="30"/>
        <v>0</v>
      </c>
      <c r="G127" s="10">
        <f t="shared" si="31"/>
        <v>0</v>
      </c>
      <c r="H127" s="42"/>
      <c r="I127" s="39"/>
      <c r="J127" s="39"/>
      <c r="K127" s="39"/>
    </row>
    <row r="128" spans="1:11" x14ac:dyDescent="0.15">
      <c r="A128" s="20">
        <v>0</v>
      </c>
      <c r="B128" s="20">
        <v>0</v>
      </c>
      <c r="C128" s="21">
        <f t="shared" si="32"/>
        <v>0</v>
      </c>
      <c r="D128" s="6">
        <v>1.2999999999999999E-2</v>
      </c>
      <c r="F128" s="22">
        <f t="shared" si="30"/>
        <v>0</v>
      </c>
      <c r="G128" s="10">
        <f t="shared" si="31"/>
        <v>0</v>
      </c>
      <c r="H128" s="43"/>
      <c r="I128" s="39"/>
      <c r="J128" s="39"/>
      <c r="K128" s="39"/>
    </row>
    <row r="129" spans="1:11" ht="7.5" customHeight="1" x14ac:dyDescent="0.15">
      <c r="A129" s="28"/>
      <c r="B129" s="28"/>
      <c r="C129" s="29"/>
      <c r="D129" s="30"/>
      <c r="F129" s="31"/>
      <c r="G129" s="26"/>
      <c r="H129" s="26"/>
      <c r="I129" s="26"/>
      <c r="J129" s="26"/>
      <c r="K129" s="26"/>
    </row>
    <row r="130" spans="1:11" x14ac:dyDescent="0.15">
      <c r="A130" s="7" t="s">
        <v>30</v>
      </c>
      <c r="B130" s="25" t="s">
        <v>15</v>
      </c>
      <c r="C130" s="8" t="s">
        <v>34</v>
      </c>
      <c r="D130" s="18" t="str">
        <f>$K$5</f>
        <v>psi</v>
      </c>
      <c r="F130" s="14" t="s">
        <v>30</v>
      </c>
      <c r="G130" s="9" t="str">
        <f>B130</f>
        <v>CH12</v>
      </c>
      <c r="H130" s="4"/>
      <c r="I130" s="8"/>
      <c r="J130" s="3"/>
      <c r="K130" s="9"/>
    </row>
    <row r="131" spans="1:11" ht="15" customHeight="1" x14ac:dyDescent="0.15">
      <c r="A131" s="49" t="s">
        <v>31</v>
      </c>
      <c r="B131" s="48" t="s">
        <v>32</v>
      </c>
      <c r="C131" s="53" t="s">
        <v>33</v>
      </c>
      <c r="D131" s="54" t="s">
        <v>3</v>
      </c>
      <c r="F131" s="33" t="s">
        <v>31</v>
      </c>
      <c r="G131" s="36" t="s">
        <v>36</v>
      </c>
      <c r="H131" s="38" t="s">
        <v>22</v>
      </c>
      <c r="I131" s="40" t="s">
        <v>42</v>
      </c>
      <c r="J131" s="40"/>
      <c r="K131" s="40"/>
    </row>
    <row r="132" spans="1:11" x14ac:dyDescent="0.15">
      <c r="A132" s="52"/>
      <c r="B132" s="49"/>
      <c r="C132" s="51"/>
      <c r="D132" s="54"/>
      <c r="F132" s="32" t="str">
        <f>"（"&amp;$K$5&amp;"）"</f>
        <v>（psi）</v>
      </c>
      <c r="G132" s="37"/>
      <c r="H132" s="38"/>
      <c r="I132" s="40"/>
      <c r="J132" s="40"/>
      <c r="K132" s="40"/>
    </row>
    <row r="133" spans="1:11" x14ac:dyDescent="0.15">
      <c r="A133" s="20">
        <v>0</v>
      </c>
      <c r="B133" s="20">
        <v>0</v>
      </c>
      <c r="C133" s="21">
        <f>B133-A133</f>
        <v>0</v>
      </c>
      <c r="D133" s="6">
        <v>1.2999999999999999E-2</v>
      </c>
      <c r="F133" s="22">
        <f t="shared" ref="F133:F139" si="33">A133</f>
        <v>0</v>
      </c>
      <c r="G133" s="10">
        <f t="shared" ref="G133:G139" si="34">ABS(C133)/($K$6-$I$6)</f>
        <v>0</v>
      </c>
      <c r="H133" s="41">
        <f>MAX(G133:G139)</f>
        <v>0</v>
      </c>
      <c r="I133" s="39"/>
      <c r="J133" s="39"/>
      <c r="K133" s="39"/>
    </row>
    <row r="134" spans="1:11" x14ac:dyDescent="0.15">
      <c r="A134" s="20">
        <v>0</v>
      </c>
      <c r="B134" s="20">
        <v>0</v>
      </c>
      <c r="C134" s="21">
        <f t="shared" ref="C134:C139" si="35">B134-A134</f>
        <v>0</v>
      </c>
      <c r="D134" s="6">
        <v>1.2999999999999999E-2</v>
      </c>
      <c r="F134" s="22">
        <f t="shared" si="33"/>
        <v>0</v>
      </c>
      <c r="G134" s="10">
        <f t="shared" si="34"/>
        <v>0</v>
      </c>
      <c r="H134" s="42"/>
      <c r="I134" s="39"/>
      <c r="J134" s="39"/>
      <c r="K134" s="39"/>
    </row>
    <row r="135" spans="1:11" x14ac:dyDescent="0.15">
      <c r="A135" s="20">
        <v>0</v>
      </c>
      <c r="B135" s="20">
        <v>0</v>
      </c>
      <c r="C135" s="21">
        <f t="shared" si="35"/>
        <v>0</v>
      </c>
      <c r="D135" s="6">
        <v>1.2999999999999999E-2</v>
      </c>
      <c r="F135" s="22">
        <f t="shared" si="33"/>
        <v>0</v>
      </c>
      <c r="G135" s="10">
        <f t="shared" si="34"/>
        <v>0</v>
      </c>
      <c r="H135" s="42"/>
      <c r="I135" s="39"/>
      <c r="J135" s="39"/>
      <c r="K135" s="39"/>
    </row>
    <row r="136" spans="1:11" x14ac:dyDescent="0.15">
      <c r="A136" s="20">
        <v>0</v>
      </c>
      <c r="B136" s="20">
        <v>0</v>
      </c>
      <c r="C136" s="21">
        <f t="shared" si="35"/>
        <v>0</v>
      </c>
      <c r="D136" s="6">
        <v>1.2999999999999999E-2</v>
      </c>
      <c r="F136" s="22">
        <f t="shared" si="33"/>
        <v>0</v>
      </c>
      <c r="G136" s="10">
        <f t="shared" si="34"/>
        <v>0</v>
      </c>
      <c r="H136" s="42"/>
      <c r="I136" s="39"/>
      <c r="J136" s="39"/>
      <c r="K136" s="39"/>
    </row>
    <row r="137" spans="1:11" x14ac:dyDescent="0.15">
      <c r="A137" s="20">
        <v>0</v>
      </c>
      <c r="B137" s="20">
        <v>0</v>
      </c>
      <c r="C137" s="21">
        <f t="shared" si="35"/>
        <v>0</v>
      </c>
      <c r="D137" s="6">
        <v>1.2999999999999999E-2</v>
      </c>
      <c r="F137" s="22">
        <f t="shared" si="33"/>
        <v>0</v>
      </c>
      <c r="G137" s="10">
        <f t="shared" si="34"/>
        <v>0</v>
      </c>
      <c r="H137" s="42"/>
      <c r="I137" s="39"/>
      <c r="J137" s="39"/>
      <c r="K137" s="39"/>
    </row>
    <row r="138" spans="1:11" x14ac:dyDescent="0.15">
      <c r="A138" s="20">
        <v>0</v>
      </c>
      <c r="B138" s="20">
        <v>0</v>
      </c>
      <c r="C138" s="21">
        <f t="shared" si="35"/>
        <v>0</v>
      </c>
      <c r="D138" s="6">
        <v>1.2999999999999999E-2</v>
      </c>
      <c r="F138" s="22">
        <f t="shared" si="33"/>
        <v>0</v>
      </c>
      <c r="G138" s="10">
        <f t="shared" si="34"/>
        <v>0</v>
      </c>
      <c r="H138" s="42"/>
      <c r="I138" s="39"/>
      <c r="J138" s="39"/>
      <c r="K138" s="39"/>
    </row>
    <row r="139" spans="1:11" x14ac:dyDescent="0.15">
      <c r="A139" s="20">
        <v>0</v>
      </c>
      <c r="B139" s="20">
        <v>0</v>
      </c>
      <c r="C139" s="21">
        <f t="shared" si="35"/>
        <v>0</v>
      </c>
      <c r="D139" s="6">
        <v>1.2999999999999999E-2</v>
      </c>
      <c r="F139" s="22">
        <f t="shared" si="33"/>
        <v>0</v>
      </c>
      <c r="G139" s="10">
        <f t="shared" si="34"/>
        <v>0</v>
      </c>
      <c r="H139" s="43"/>
      <c r="I139" s="39"/>
      <c r="J139" s="39"/>
      <c r="K139" s="39"/>
    </row>
    <row r="140" spans="1:11" x14ac:dyDescent="0.15">
      <c r="A140" s="28"/>
      <c r="B140" s="28"/>
      <c r="C140" s="29"/>
      <c r="D140" s="30"/>
      <c r="F140" s="31"/>
      <c r="I140" s="26"/>
      <c r="J140" s="26"/>
      <c r="K140" s="26"/>
    </row>
    <row r="141" spans="1:11" x14ac:dyDescent="0.15">
      <c r="A141" s="28"/>
      <c r="B141" s="28"/>
      <c r="C141" s="29"/>
      <c r="D141" s="30"/>
      <c r="F141" s="31"/>
      <c r="I141" s="26"/>
      <c r="J141" s="26"/>
      <c r="K141" s="26"/>
    </row>
    <row r="142" spans="1:11" x14ac:dyDescent="0.15">
      <c r="A142" s="28"/>
      <c r="B142" s="28"/>
      <c r="C142" s="29"/>
      <c r="D142" s="30"/>
      <c r="F142" s="31"/>
      <c r="I142" s="26"/>
      <c r="J142" s="26"/>
      <c r="K142" s="26"/>
    </row>
    <row r="143" spans="1:11" x14ac:dyDescent="0.15">
      <c r="A143" s="7" t="s">
        <v>30</v>
      </c>
      <c r="B143" s="25" t="s">
        <v>16</v>
      </c>
      <c r="C143" s="8" t="s">
        <v>34</v>
      </c>
      <c r="D143" s="18" t="str">
        <f>$K$5</f>
        <v>psi</v>
      </c>
      <c r="F143" s="14" t="s">
        <v>30</v>
      </c>
      <c r="G143" s="9" t="str">
        <f>B143</f>
        <v>CH13</v>
      </c>
      <c r="H143" s="4"/>
      <c r="I143" s="8"/>
      <c r="J143" s="3"/>
      <c r="K143" s="9"/>
    </row>
    <row r="144" spans="1:11" ht="15" customHeight="1" x14ac:dyDescent="0.15">
      <c r="A144" s="49" t="s">
        <v>31</v>
      </c>
      <c r="B144" s="48" t="s">
        <v>32</v>
      </c>
      <c r="C144" s="53" t="s">
        <v>33</v>
      </c>
      <c r="D144" s="54" t="s">
        <v>3</v>
      </c>
      <c r="F144" s="33" t="s">
        <v>31</v>
      </c>
      <c r="G144" s="36" t="s">
        <v>36</v>
      </c>
      <c r="H144" s="38" t="s">
        <v>22</v>
      </c>
      <c r="I144" s="40" t="s">
        <v>42</v>
      </c>
      <c r="J144" s="40"/>
      <c r="K144" s="40"/>
    </row>
    <row r="145" spans="1:11" x14ac:dyDescent="0.15">
      <c r="A145" s="52"/>
      <c r="B145" s="49"/>
      <c r="C145" s="51"/>
      <c r="D145" s="54"/>
      <c r="F145" s="32" t="str">
        <f>"（"&amp;$K$5&amp;"）"</f>
        <v>（psi）</v>
      </c>
      <c r="G145" s="37"/>
      <c r="H145" s="38"/>
      <c r="I145" s="40"/>
      <c r="J145" s="40"/>
      <c r="K145" s="40"/>
    </row>
    <row r="146" spans="1:11" x14ac:dyDescent="0.15">
      <c r="A146" s="20">
        <v>0</v>
      </c>
      <c r="B146" s="20">
        <v>0</v>
      </c>
      <c r="C146" s="21">
        <f>B146-A146</f>
        <v>0</v>
      </c>
      <c r="D146" s="6">
        <v>1.2999999999999999E-2</v>
      </c>
      <c r="F146" s="22">
        <f t="shared" ref="F146:F152" si="36">A146</f>
        <v>0</v>
      </c>
      <c r="G146" s="10">
        <f t="shared" ref="G146:G152" si="37">ABS(C146)/($K$6-$I$6)</f>
        <v>0</v>
      </c>
      <c r="H146" s="41">
        <f>MAX(G146:G152)</f>
        <v>0</v>
      </c>
      <c r="I146" s="39"/>
      <c r="J146" s="39"/>
      <c r="K146" s="39"/>
    </row>
    <row r="147" spans="1:11" x14ac:dyDescent="0.15">
      <c r="A147" s="20">
        <v>0</v>
      </c>
      <c r="B147" s="20">
        <v>0</v>
      </c>
      <c r="C147" s="21">
        <f t="shared" ref="C147:C152" si="38">B147-A147</f>
        <v>0</v>
      </c>
      <c r="D147" s="6">
        <v>1.2999999999999999E-2</v>
      </c>
      <c r="F147" s="22">
        <f t="shared" si="36"/>
        <v>0</v>
      </c>
      <c r="G147" s="10">
        <f t="shared" si="37"/>
        <v>0</v>
      </c>
      <c r="H147" s="42"/>
      <c r="I147" s="39"/>
      <c r="J147" s="39"/>
      <c r="K147" s="39"/>
    </row>
    <row r="148" spans="1:11" x14ac:dyDescent="0.15">
      <c r="A148" s="20">
        <v>0</v>
      </c>
      <c r="B148" s="20">
        <v>0</v>
      </c>
      <c r="C148" s="21">
        <f t="shared" si="38"/>
        <v>0</v>
      </c>
      <c r="D148" s="6">
        <v>1.2999999999999999E-2</v>
      </c>
      <c r="F148" s="22">
        <f t="shared" si="36"/>
        <v>0</v>
      </c>
      <c r="G148" s="10">
        <f t="shared" si="37"/>
        <v>0</v>
      </c>
      <c r="H148" s="42"/>
      <c r="I148" s="39"/>
      <c r="J148" s="39"/>
      <c r="K148" s="39"/>
    </row>
    <row r="149" spans="1:11" x14ac:dyDescent="0.15">
      <c r="A149" s="20">
        <v>0</v>
      </c>
      <c r="B149" s="20">
        <v>0</v>
      </c>
      <c r="C149" s="21">
        <f t="shared" si="38"/>
        <v>0</v>
      </c>
      <c r="D149" s="6">
        <v>1.2999999999999999E-2</v>
      </c>
      <c r="F149" s="22">
        <f t="shared" si="36"/>
        <v>0</v>
      </c>
      <c r="G149" s="10">
        <f t="shared" si="37"/>
        <v>0</v>
      </c>
      <c r="H149" s="42"/>
      <c r="I149" s="39"/>
      <c r="J149" s="39"/>
      <c r="K149" s="39"/>
    </row>
    <row r="150" spans="1:11" x14ac:dyDescent="0.15">
      <c r="A150" s="20">
        <v>0</v>
      </c>
      <c r="B150" s="20">
        <v>0</v>
      </c>
      <c r="C150" s="21">
        <f t="shared" si="38"/>
        <v>0</v>
      </c>
      <c r="D150" s="6">
        <v>1.2999999999999999E-2</v>
      </c>
      <c r="F150" s="22">
        <f t="shared" si="36"/>
        <v>0</v>
      </c>
      <c r="G150" s="10">
        <f t="shared" si="37"/>
        <v>0</v>
      </c>
      <c r="H150" s="42"/>
      <c r="I150" s="39"/>
      <c r="J150" s="39"/>
      <c r="K150" s="39"/>
    </row>
    <row r="151" spans="1:11" x14ac:dyDescent="0.15">
      <c r="A151" s="20">
        <v>0</v>
      </c>
      <c r="B151" s="20">
        <v>0</v>
      </c>
      <c r="C151" s="21">
        <f t="shared" si="38"/>
        <v>0</v>
      </c>
      <c r="D151" s="6">
        <v>1.2999999999999999E-2</v>
      </c>
      <c r="F151" s="22">
        <f t="shared" si="36"/>
        <v>0</v>
      </c>
      <c r="G151" s="10">
        <f t="shared" si="37"/>
        <v>0</v>
      </c>
      <c r="H151" s="42"/>
      <c r="I151" s="39"/>
      <c r="J151" s="39"/>
      <c r="K151" s="39"/>
    </row>
    <row r="152" spans="1:11" x14ac:dyDescent="0.15">
      <c r="A152" s="20">
        <v>0</v>
      </c>
      <c r="B152" s="20">
        <v>0</v>
      </c>
      <c r="C152" s="21">
        <f t="shared" si="38"/>
        <v>0</v>
      </c>
      <c r="D152" s="6">
        <v>1.2999999999999999E-2</v>
      </c>
      <c r="F152" s="22">
        <f t="shared" si="36"/>
        <v>0</v>
      </c>
      <c r="G152" s="10">
        <f t="shared" si="37"/>
        <v>0</v>
      </c>
      <c r="H152" s="43"/>
      <c r="I152" s="39"/>
      <c r="J152" s="39"/>
      <c r="K152" s="39"/>
    </row>
    <row r="153" spans="1:11" ht="7.5" customHeight="1" x14ac:dyDescent="0.15">
      <c r="A153" s="28"/>
      <c r="B153" s="28"/>
      <c r="C153" s="29"/>
      <c r="D153" s="30"/>
      <c r="F153" s="31"/>
      <c r="G153" s="26"/>
      <c r="H153" s="26"/>
      <c r="I153" s="26"/>
      <c r="J153" s="26"/>
      <c r="K153" s="26"/>
    </row>
    <row r="154" spans="1:11" x14ac:dyDescent="0.15">
      <c r="A154" s="7" t="s">
        <v>30</v>
      </c>
      <c r="B154" s="25" t="s">
        <v>17</v>
      </c>
      <c r="C154" s="8" t="s">
        <v>34</v>
      </c>
      <c r="D154" s="18" t="str">
        <f>$K$5</f>
        <v>psi</v>
      </c>
      <c r="F154" s="14" t="s">
        <v>30</v>
      </c>
      <c r="G154" s="9" t="str">
        <f>B154</f>
        <v>CH14</v>
      </c>
      <c r="H154" s="4"/>
      <c r="I154" s="8"/>
      <c r="J154" s="3"/>
      <c r="K154" s="9"/>
    </row>
    <row r="155" spans="1:11" ht="15" customHeight="1" x14ac:dyDescent="0.15">
      <c r="A155" s="49" t="s">
        <v>31</v>
      </c>
      <c r="B155" s="48" t="s">
        <v>32</v>
      </c>
      <c r="C155" s="53" t="s">
        <v>33</v>
      </c>
      <c r="D155" s="54" t="s">
        <v>3</v>
      </c>
      <c r="F155" s="33" t="s">
        <v>31</v>
      </c>
      <c r="G155" s="36" t="s">
        <v>36</v>
      </c>
      <c r="H155" s="38" t="s">
        <v>22</v>
      </c>
      <c r="I155" s="40" t="s">
        <v>42</v>
      </c>
      <c r="J155" s="40"/>
      <c r="K155" s="40"/>
    </row>
    <row r="156" spans="1:11" x14ac:dyDescent="0.15">
      <c r="A156" s="52"/>
      <c r="B156" s="49"/>
      <c r="C156" s="51"/>
      <c r="D156" s="54"/>
      <c r="F156" s="32" t="str">
        <f>"（"&amp;$K$5&amp;"）"</f>
        <v>（psi）</v>
      </c>
      <c r="G156" s="37"/>
      <c r="H156" s="38"/>
      <c r="I156" s="40"/>
      <c r="J156" s="40"/>
      <c r="K156" s="40"/>
    </row>
    <row r="157" spans="1:11" x14ac:dyDescent="0.15">
      <c r="A157" s="20">
        <v>0</v>
      </c>
      <c r="B157" s="20">
        <v>0</v>
      </c>
      <c r="C157" s="21">
        <f>B157-A157</f>
        <v>0</v>
      </c>
      <c r="D157" s="6">
        <v>1.2999999999999999E-2</v>
      </c>
      <c r="F157" s="22">
        <f t="shared" ref="F157:F163" si="39">A157</f>
        <v>0</v>
      </c>
      <c r="G157" s="10">
        <f t="shared" ref="G157:G163" si="40">ABS(C157)/($K$6-$I$6)</f>
        <v>0</v>
      </c>
      <c r="H157" s="41">
        <f>MAX(G157:G163)</f>
        <v>0</v>
      </c>
      <c r="I157" s="39"/>
      <c r="J157" s="39"/>
      <c r="K157" s="39"/>
    </row>
    <row r="158" spans="1:11" x14ac:dyDescent="0.15">
      <c r="A158" s="20">
        <v>0</v>
      </c>
      <c r="B158" s="20">
        <v>0</v>
      </c>
      <c r="C158" s="21">
        <f t="shared" ref="C158:C163" si="41">B158-A158</f>
        <v>0</v>
      </c>
      <c r="D158" s="6">
        <v>1.2999999999999999E-2</v>
      </c>
      <c r="F158" s="22">
        <f t="shared" si="39"/>
        <v>0</v>
      </c>
      <c r="G158" s="10">
        <f t="shared" si="40"/>
        <v>0</v>
      </c>
      <c r="H158" s="42"/>
      <c r="I158" s="39"/>
      <c r="J158" s="39"/>
      <c r="K158" s="39"/>
    </row>
    <row r="159" spans="1:11" x14ac:dyDescent="0.15">
      <c r="A159" s="20">
        <v>0</v>
      </c>
      <c r="B159" s="20">
        <v>0</v>
      </c>
      <c r="C159" s="21">
        <f t="shared" si="41"/>
        <v>0</v>
      </c>
      <c r="D159" s="6">
        <v>1.2999999999999999E-2</v>
      </c>
      <c r="F159" s="22">
        <f t="shared" si="39"/>
        <v>0</v>
      </c>
      <c r="G159" s="10">
        <f t="shared" si="40"/>
        <v>0</v>
      </c>
      <c r="H159" s="42"/>
      <c r="I159" s="39"/>
      <c r="J159" s="39"/>
      <c r="K159" s="39"/>
    </row>
    <row r="160" spans="1:11" x14ac:dyDescent="0.15">
      <c r="A160" s="20">
        <v>0</v>
      </c>
      <c r="B160" s="20">
        <v>0</v>
      </c>
      <c r="C160" s="21">
        <f t="shared" si="41"/>
        <v>0</v>
      </c>
      <c r="D160" s="6">
        <v>1.2999999999999999E-2</v>
      </c>
      <c r="F160" s="22">
        <f t="shared" si="39"/>
        <v>0</v>
      </c>
      <c r="G160" s="10">
        <f t="shared" si="40"/>
        <v>0</v>
      </c>
      <c r="H160" s="42"/>
      <c r="I160" s="39"/>
      <c r="J160" s="39"/>
      <c r="K160" s="39"/>
    </row>
    <row r="161" spans="1:11" x14ac:dyDescent="0.15">
      <c r="A161" s="20">
        <v>0</v>
      </c>
      <c r="B161" s="20">
        <v>0</v>
      </c>
      <c r="C161" s="21">
        <f t="shared" si="41"/>
        <v>0</v>
      </c>
      <c r="D161" s="6">
        <v>1.2999999999999999E-2</v>
      </c>
      <c r="F161" s="22">
        <f t="shared" si="39"/>
        <v>0</v>
      </c>
      <c r="G161" s="10">
        <f t="shared" si="40"/>
        <v>0</v>
      </c>
      <c r="H161" s="42"/>
      <c r="I161" s="39"/>
      <c r="J161" s="39"/>
      <c r="K161" s="39"/>
    </row>
    <row r="162" spans="1:11" x14ac:dyDescent="0.15">
      <c r="A162" s="20">
        <v>0</v>
      </c>
      <c r="B162" s="20">
        <v>0</v>
      </c>
      <c r="C162" s="21">
        <f t="shared" si="41"/>
        <v>0</v>
      </c>
      <c r="D162" s="6">
        <v>1.2999999999999999E-2</v>
      </c>
      <c r="F162" s="22">
        <f t="shared" si="39"/>
        <v>0</v>
      </c>
      <c r="G162" s="10">
        <f t="shared" si="40"/>
        <v>0</v>
      </c>
      <c r="H162" s="42"/>
      <c r="I162" s="39"/>
      <c r="J162" s="39"/>
      <c r="K162" s="39"/>
    </row>
    <row r="163" spans="1:11" x14ac:dyDescent="0.15">
      <c r="A163" s="20">
        <v>0</v>
      </c>
      <c r="B163" s="20">
        <v>0</v>
      </c>
      <c r="C163" s="21">
        <f t="shared" si="41"/>
        <v>0</v>
      </c>
      <c r="D163" s="6">
        <v>1.2999999999999999E-2</v>
      </c>
      <c r="F163" s="22">
        <f t="shared" si="39"/>
        <v>0</v>
      </c>
      <c r="G163" s="10">
        <f t="shared" si="40"/>
        <v>0</v>
      </c>
      <c r="H163" s="43"/>
      <c r="I163" s="39"/>
      <c r="J163" s="39"/>
      <c r="K163" s="39"/>
    </row>
    <row r="164" spans="1:11" ht="6.75" customHeight="1" x14ac:dyDescent="0.15">
      <c r="A164" s="28"/>
      <c r="B164" s="28"/>
      <c r="C164" s="29"/>
      <c r="D164" s="30"/>
      <c r="F164" s="26"/>
      <c r="G164" s="26"/>
      <c r="H164" s="26"/>
      <c r="I164" s="26"/>
      <c r="J164" s="26"/>
      <c r="K164" s="26"/>
    </row>
    <row r="165" spans="1:11" x14ac:dyDescent="0.15">
      <c r="A165" s="7" t="s">
        <v>30</v>
      </c>
      <c r="B165" s="25" t="s">
        <v>18</v>
      </c>
      <c r="C165" s="8" t="s">
        <v>34</v>
      </c>
      <c r="D165" s="18" t="str">
        <f>$K$5</f>
        <v>psi</v>
      </c>
      <c r="F165" s="14" t="s">
        <v>30</v>
      </c>
      <c r="G165" s="9" t="str">
        <f>B165</f>
        <v>CH15</v>
      </c>
      <c r="H165" s="4"/>
      <c r="I165" s="8"/>
      <c r="J165" s="3"/>
      <c r="K165" s="9"/>
    </row>
    <row r="166" spans="1:11" ht="15" customHeight="1" x14ac:dyDescent="0.15">
      <c r="A166" s="49" t="s">
        <v>31</v>
      </c>
      <c r="B166" s="48" t="s">
        <v>32</v>
      </c>
      <c r="C166" s="53" t="s">
        <v>33</v>
      </c>
      <c r="D166" s="54" t="s">
        <v>3</v>
      </c>
      <c r="F166" s="33" t="s">
        <v>31</v>
      </c>
      <c r="G166" s="36" t="s">
        <v>36</v>
      </c>
      <c r="H166" s="38" t="s">
        <v>22</v>
      </c>
      <c r="I166" s="40" t="s">
        <v>42</v>
      </c>
      <c r="J166" s="40"/>
      <c r="K166" s="40"/>
    </row>
    <row r="167" spans="1:11" x14ac:dyDescent="0.15">
      <c r="A167" s="52"/>
      <c r="B167" s="49"/>
      <c r="C167" s="51"/>
      <c r="D167" s="54"/>
      <c r="F167" s="32" t="str">
        <f>"（"&amp;$K$5&amp;"）"</f>
        <v>（psi）</v>
      </c>
      <c r="G167" s="37"/>
      <c r="H167" s="38"/>
      <c r="I167" s="40"/>
      <c r="J167" s="40"/>
      <c r="K167" s="40"/>
    </row>
    <row r="168" spans="1:11" x14ac:dyDescent="0.15">
      <c r="A168" s="20">
        <v>0</v>
      </c>
      <c r="B168" s="20">
        <v>0</v>
      </c>
      <c r="C168" s="21">
        <f>B168-A168</f>
        <v>0</v>
      </c>
      <c r="D168" s="6">
        <v>1.2999999999999999E-2</v>
      </c>
      <c r="F168" s="22">
        <f t="shared" ref="F168:F174" si="42">A168</f>
        <v>0</v>
      </c>
      <c r="G168" s="10">
        <f t="shared" ref="G168:G174" si="43">ABS(C168)/($K$6-$I$6)</f>
        <v>0</v>
      </c>
      <c r="H168" s="41">
        <f>MAX(G168:G174)</f>
        <v>0</v>
      </c>
      <c r="I168" s="39"/>
      <c r="J168" s="39"/>
      <c r="K168" s="39"/>
    </row>
    <row r="169" spans="1:11" x14ac:dyDescent="0.15">
      <c r="A169" s="20">
        <v>0</v>
      </c>
      <c r="B169" s="20">
        <v>0</v>
      </c>
      <c r="C169" s="21">
        <f t="shared" ref="C169:C174" si="44">B169-A169</f>
        <v>0</v>
      </c>
      <c r="D169" s="6">
        <v>1.2999999999999999E-2</v>
      </c>
      <c r="F169" s="22">
        <f t="shared" si="42"/>
        <v>0</v>
      </c>
      <c r="G169" s="10">
        <f t="shared" si="43"/>
        <v>0</v>
      </c>
      <c r="H169" s="42"/>
      <c r="I169" s="39"/>
      <c r="J169" s="39"/>
      <c r="K169" s="39"/>
    </row>
    <row r="170" spans="1:11" x14ac:dyDescent="0.15">
      <c r="A170" s="20">
        <v>0</v>
      </c>
      <c r="B170" s="20">
        <v>0</v>
      </c>
      <c r="C170" s="21">
        <f t="shared" si="44"/>
        <v>0</v>
      </c>
      <c r="D170" s="6">
        <v>1.2999999999999999E-2</v>
      </c>
      <c r="F170" s="22">
        <f t="shared" si="42"/>
        <v>0</v>
      </c>
      <c r="G170" s="10">
        <f t="shared" si="43"/>
        <v>0</v>
      </c>
      <c r="H170" s="42"/>
      <c r="I170" s="39"/>
      <c r="J170" s="39"/>
      <c r="K170" s="39"/>
    </row>
    <row r="171" spans="1:11" x14ac:dyDescent="0.15">
      <c r="A171" s="20">
        <v>0</v>
      </c>
      <c r="B171" s="20">
        <v>0</v>
      </c>
      <c r="C171" s="21">
        <f t="shared" si="44"/>
        <v>0</v>
      </c>
      <c r="D171" s="6">
        <v>1.2999999999999999E-2</v>
      </c>
      <c r="F171" s="22">
        <f t="shared" si="42"/>
        <v>0</v>
      </c>
      <c r="G171" s="10">
        <f t="shared" si="43"/>
        <v>0</v>
      </c>
      <c r="H171" s="42"/>
      <c r="I171" s="39"/>
      <c r="J171" s="39"/>
      <c r="K171" s="39"/>
    </row>
    <row r="172" spans="1:11" x14ac:dyDescent="0.15">
      <c r="A172" s="20">
        <v>0</v>
      </c>
      <c r="B172" s="20">
        <v>0</v>
      </c>
      <c r="C172" s="21">
        <f t="shared" si="44"/>
        <v>0</v>
      </c>
      <c r="D172" s="6">
        <v>1.2999999999999999E-2</v>
      </c>
      <c r="F172" s="22">
        <f t="shared" si="42"/>
        <v>0</v>
      </c>
      <c r="G172" s="10">
        <f t="shared" si="43"/>
        <v>0</v>
      </c>
      <c r="H172" s="42"/>
      <c r="I172" s="39"/>
      <c r="J172" s="39"/>
      <c r="K172" s="39"/>
    </row>
    <row r="173" spans="1:11" x14ac:dyDescent="0.15">
      <c r="A173" s="20">
        <v>0</v>
      </c>
      <c r="B173" s="20">
        <v>0</v>
      </c>
      <c r="C173" s="21">
        <f t="shared" si="44"/>
        <v>0</v>
      </c>
      <c r="D173" s="6">
        <v>1.2999999999999999E-2</v>
      </c>
      <c r="F173" s="22">
        <f t="shared" si="42"/>
        <v>0</v>
      </c>
      <c r="G173" s="10">
        <f t="shared" si="43"/>
        <v>0</v>
      </c>
      <c r="H173" s="42"/>
      <c r="I173" s="39"/>
      <c r="J173" s="39"/>
      <c r="K173" s="39"/>
    </row>
    <row r="174" spans="1:11" x14ac:dyDescent="0.15">
      <c r="A174" s="20">
        <v>0</v>
      </c>
      <c r="B174" s="20">
        <v>0</v>
      </c>
      <c r="C174" s="21">
        <f t="shared" si="44"/>
        <v>0</v>
      </c>
      <c r="D174" s="6">
        <v>1.2999999999999999E-2</v>
      </c>
      <c r="F174" s="22">
        <f t="shared" si="42"/>
        <v>0</v>
      </c>
      <c r="G174" s="10">
        <f t="shared" si="43"/>
        <v>0</v>
      </c>
      <c r="H174" s="43"/>
      <c r="I174" s="39"/>
      <c r="J174" s="39"/>
      <c r="K174" s="39"/>
    </row>
    <row r="175" spans="1:11" ht="6.75" customHeight="1" x14ac:dyDescent="0.15">
      <c r="A175" s="28"/>
      <c r="B175" s="28"/>
      <c r="C175" s="29"/>
      <c r="D175" s="30"/>
      <c r="F175" s="31"/>
      <c r="G175" s="26"/>
      <c r="H175" s="26"/>
      <c r="I175" s="26"/>
      <c r="J175" s="26"/>
      <c r="K175" s="26"/>
    </row>
    <row r="176" spans="1:11" x14ac:dyDescent="0.15">
      <c r="A176" s="7" t="s">
        <v>30</v>
      </c>
      <c r="B176" s="25" t="s">
        <v>19</v>
      </c>
      <c r="C176" s="8" t="s">
        <v>34</v>
      </c>
      <c r="D176" s="18" t="str">
        <f>$K$5</f>
        <v>psi</v>
      </c>
      <c r="F176" s="14" t="s">
        <v>30</v>
      </c>
      <c r="G176" s="9" t="str">
        <f>B176</f>
        <v>CH16</v>
      </c>
      <c r="H176" s="4"/>
      <c r="I176" s="8"/>
      <c r="J176" s="3"/>
      <c r="K176" s="9"/>
    </row>
    <row r="177" spans="1:11" ht="15" customHeight="1" x14ac:dyDescent="0.15">
      <c r="A177" s="49" t="s">
        <v>31</v>
      </c>
      <c r="B177" s="48" t="s">
        <v>32</v>
      </c>
      <c r="C177" s="53" t="s">
        <v>33</v>
      </c>
      <c r="D177" s="54" t="s">
        <v>3</v>
      </c>
      <c r="F177" s="33" t="s">
        <v>31</v>
      </c>
      <c r="G177" s="36" t="s">
        <v>36</v>
      </c>
      <c r="H177" s="38" t="s">
        <v>22</v>
      </c>
      <c r="I177" s="40" t="s">
        <v>42</v>
      </c>
      <c r="J177" s="40"/>
      <c r="K177" s="40"/>
    </row>
    <row r="178" spans="1:11" x14ac:dyDescent="0.15">
      <c r="A178" s="52"/>
      <c r="B178" s="49"/>
      <c r="C178" s="51"/>
      <c r="D178" s="54"/>
      <c r="F178" s="32" t="str">
        <f>"（"&amp;$K$5&amp;"）"</f>
        <v>（psi）</v>
      </c>
      <c r="G178" s="37"/>
      <c r="H178" s="38"/>
      <c r="I178" s="40"/>
      <c r="J178" s="40"/>
      <c r="K178" s="40"/>
    </row>
    <row r="179" spans="1:11" x14ac:dyDescent="0.15">
      <c r="A179" s="20">
        <v>0</v>
      </c>
      <c r="B179" s="20">
        <v>0</v>
      </c>
      <c r="C179" s="21">
        <f>B179-A179</f>
        <v>0</v>
      </c>
      <c r="D179" s="6">
        <v>1.2999999999999999E-2</v>
      </c>
      <c r="F179" s="22">
        <f t="shared" ref="F179:F185" si="45">A179</f>
        <v>0</v>
      </c>
      <c r="G179" s="10">
        <f t="shared" ref="G179:G185" si="46">ABS(C179)/($K$6-$I$6)</f>
        <v>0</v>
      </c>
      <c r="H179" s="41">
        <f>MAX(G179:G185)</f>
        <v>0</v>
      </c>
      <c r="I179" s="39"/>
      <c r="J179" s="39"/>
      <c r="K179" s="39"/>
    </row>
    <row r="180" spans="1:11" x14ac:dyDescent="0.15">
      <c r="A180" s="20">
        <v>0</v>
      </c>
      <c r="B180" s="20">
        <v>0</v>
      </c>
      <c r="C180" s="21">
        <f t="shared" ref="C180:C185" si="47">B180-A180</f>
        <v>0</v>
      </c>
      <c r="D180" s="6">
        <v>1.2999999999999999E-2</v>
      </c>
      <c r="F180" s="22">
        <f t="shared" si="45"/>
        <v>0</v>
      </c>
      <c r="G180" s="10">
        <f t="shared" si="46"/>
        <v>0</v>
      </c>
      <c r="H180" s="42"/>
      <c r="I180" s="39"/>
      <c r="J180" s="39"/>
      <c r="K180" s="39"/>
    </row>
    <row r="181" spans="1:11" x14ac:dyDescent="0.15">
      <c r="A181" s="20">
        <v>0</v>
      </c>
      <c r="B181" s="20">
        <v>0</v>
      </c>
      <c r="C181" s="21">
        <f t="shared" si="47"/>
        <v>0</v>
      </c>
      <c r="D181" s="6">
        <v>1.2999999999999999E-2</v>
      </c>
      <c r="F181" s="22">
        <f t="shared" si="45"/>
        <v>0</v>
      </c>
      <c r="G181" s="10">
        <f t="shared" si="46"/>
        <v>0</v>
      </c>
      <c r="H181" s="42"/>
      <c r="I181" s="39"/>
      <c r="J181" s="39"/>
      <c r="K181" s="39"/>
    </row>
    <row r="182" spans="1:11" x14ac:dyDescent="0.15">
      <c r="A182" s="20">
        <v>0</v>
      </c>
      <c r="B182" s="20">
        <v>0</v>
      </c>
      <c r="C182" s="21">
        <f t="shared" si="47"/>
        <v>0</v>
      </c>
      <c r="D182" s="6">
        <v>1.2999999999999999E-2</v>
      </c>
      <c r="F182" s="22">
        <f t="shared" si="45"/>
        <v>0</v>
      </c>
      <c r="G182" s="10">
        <f t="shared" si="46"/>
        <v>0</v>
      </c>
      <c r="H182" s="42"/>
      <c r="I182" s="39"/>
      <c r="J182" s="39"/>
      <c r="K182" s="39"/>
    </row>
    <row r="183" spans="1:11" x14ac:dyDescent="0.15">
      <c r="A183" s="20">
        <v>0</v>
      </c>
      <c r="B183" s="20">
        <v>0</v>
      </c>
      <c r="C183" s="21">
        <f t="shared" si="47"/>
        <v>0</v>
      </c>
      <c r="D183" s="6">
        <v>1.2999999999999999E-2</v>
      </c>
      <c r="F183" s="22">
        <f t="shared" si="45"/>
        <v>0</v>
      </c>
      <c r="G183" s="10">
        <f t="shared" si="46"/>
        <v>0</v>
      </c>
      <c r="H183" s="42"/>
      <c r="I183" s="39"/>
      <c r="J183" s="39"/>
      <c r="K183" s="39"/>
    </row>
    <row r="184" spans="1:11" x14ac:dyDescent="0.15">
      <c r="A184" s="20">
        <v>0</v>
      </c>
      <c r="B184" s="20">
        <v>0</v>
      </c>
      <c r="C184" s="21">
        <f t="shared" si="47"/>
        <v>0</v>
      </c>
      <c r="D184" s="6">
        <v>1.2999999999999999E-2</v>
      </c>
      <c r="F184" s="22">
        <f t="shared" si="45"/>
        <v>0</v>
      </c>
      <c r="G184" s="10">
        <f t="shared" si="46"/>
        <v>0</v>
      </c>
      <c r="H184" s="42"/>
      <c r="I184" s="39"/>
      <c r="J184" s="39"/>
      <c r="K184" s="39"/>
    </row>
    <row r="185" spans="1:11" x14ac:dyDescent="0.15">
      <c r="A185" s="20">
        <v>0</v>
      </c>
      <c r="B185" s="20">
        <v>0</v>
      </c>
      <c r="C185" s="21">
        <f t="shared" si="47"/>
        <v>0</v>
      </c>
      <c r="D185" s="6">
        <v>1.2999999999999999E-2</v>
      </c>
      <c r="F185" s="22">
        <f t="shared" si="45"/>
        <v>0</v>
      </c>
      <c r="G185" s="10">
        <f t="shared" si="46"/>
        <v>0</v>
      </c>
      <c r="H185" s="43"/>
      <c r="I185" s="39"/>
      <c r="J185" s="39"/>
      <c r="K185" s="39"/>
    </row>
    <row r="186" spans="1:11" x14ac:dyDescent="0.15">
      <c r="A186" s="28"/>
      <c r="B186" s="28"/>
      <c r="C186" s="29"/>
      <c r="D186" s="30"/>
      <c r="F186" s="31"/>
      <c r="H186" s="26"/>
      <c r="I186" s="26"/>
      <c r="J186" s="26"/>
      <c r="K186" s="26"/>
    </row>
    <row r="187" spans="1:11" x14ac:dyDescent="0.15">
      <c r="A187" s="55" t="s">
        <v>2</v>
      </c>
      <c r="B187" s="55"/>
      <c r="C187" s="55"/>
      <c r="D187" s="55"/>
    </row>
    <row r="188" spans="1:11" x14ac:dyDescent="0.15">
      <c r="A188" s="44" t="s">
        <v>1</v>
      </c>
      <c r="B188" s="44"/>
      <c r="C188" s="44"/>
      <c r="D188" s="44"/>
    </row>
  </sheetData>
  <mergeCells count="151">
    <mergeCell ref="I8:K9"/>
    <mergeCell ref="I10:K16"/>
    <mergeCell ref="I19:K20"/>
    <mergeCell ref="I21:K27"/>
    <mergeCell ref="I30:K31"/>
    <mergeCell ref="I32:K38"/>
    <mergeCell ref="I41:K42"/>
    <mergeCell ref="I43:K49"/>
    <mergeCell ref="D8:D9"/>
    <mergeCell ref="H30:H31"/>
    <mergeCell ref="G30:G31"/>
    <mergeCell ref="H21:H27"/>
    <mergeCell ref="H8:H9"/>
    <mergeCell ref="G8:G9"/>
    <mergeCell ref="H19:H20"/>
    <mergeCell ref="G19:G20"/>
    <mergeCell ref="H10:H16"/>
    <mergeCell ref="H32:H38"/>
    <mergeCell ref="G41:G42"/>
    <mergeCell ref="H41:H42"/>
    <mergeCell ref="H43:H49"/>
    <mergeCell ref="A131:A132"/>
    <mergeCell ref="C131:C132"/>
    <mergeCell ref="D131:D132"/>
    <mergeCell ref="A19:A20"/>
    <mergeCell ref="C19:C20"/>
    <mergeCell ref="D19:D20"/>
    <mergeCell ref="B109:B110"/>
    <mergeCell ref="B120:B121"/>
    <mergeCell ref="B131:B132"/>
    <mergeCell ref="C120:C121"/>
    <mergeCell ref="D120:D121"/>
    <mergeCell ref="A109:A110"/>
    <mergeCell ref="C109:C110"/>
    <mergeCell ref="D109:D110"/>
    <mergeCell ref="D98:D99"/>
    <mergeCell ref="B19:B20"/>
    <mergeCell ref="B30:B31"/>
    <mergeCell ref="D74:D75"/>
    <mergeCell ref="B41:B42"/>
    <mergeCell ref="B52:B53"/>
    <mergeCell ref="B63:B64"/>
    <mergeCell ref="C166:C167"/>
    <mergeCell ref="D166:D167"/>
    <mergeCell ref="A155:A156"/>
    <mergeCell ref="C155:C156"/>
    <mergeCell ref="D155:D156"/>
    <mergeCell ref="B155:B156"/>
    <mergeCell ref="B166:B167"/>
    <mergeCell ref="B177:B178"/>
    <mergeCell ref="A144:A145"/>
    <mergeCell ref="C144:C145"/>
    <mergeCell ref="B144:B145"/>
    <mergeCell ref="B74:B75"/>
    <mergeCell ref="B85:B86"/>
    <mergeCell ref="B98:B99"/>
    <mergeCell ref="A187:D187"/>
    <mergeCell ref="A188:D188"/>
    <mergeCell ref="A52:A53"/>
    <mergeCell ref="C52:C53"/>
    <mergeCell ref="D52:D53"/>
    <mergeCell ref="A63:A64"/>
    <mergeCell ref="C63:C64"/>
    <mergeCell ref="A74:A75"/>
    <mergeCell ref="C74:C75"/>
    <mergeCell ref="D63:D64"/>
    <mergeCell ref="D85:D86"/>
    <mergeCell ref="A85:A86"/>
    <mergeCell ref="C85:C86"/>
    <mergeCell ref="D144:D145"/>
    <mergeCell ref="A98:A99"/>
    <mergeCell ref="C98:C99"/>
    <mergeCell ref="A120:A121"/>
    <mergeCell ref="D177:D178"/>
    <mergeCell ref="A177:A178"/>
    <mergeCell ref="C177:C178"/>
    <mergeCell ref="A166:A167"/>
    <mergeCell ref="A3:D3"/>
    <mergeCell ref="A4:D4"/>
    <mergeCell ref="A8:A9"/>
    <mergeCell ref="C8:C9"/>
    <mergeCell ref="A30:A31"/>
    <mergeCell ref="C30:C31"/>
    <mergeCell ref="D30:D31"/>
    <mergeCell ref="A41:A42"/>
    <mergeCell ref="C41:C42"/>
    <mergeCell ref="D41:D42"/>
    <mergeCell ref="B8:B9"/>
    <mergeCell ref="G109:G110"/>
    <mergeCell ref="H109:H110"/>
    <mergeCell ref="G52:G53"/>
    <mergeCell ref="H52:H53"/>
    <mergeCell ref="I52:K53"/>
    <mergeCell ref="H54:H60"/>
    <mergeCell ref="G63:G64"/>
    <mergeCell ref="H63:H64"/>
    <mergeCell ref="H65:H71"/>
    <mergeCell ref="G74:G75"/>
    <mergeCell ref="H74:H75"/>
    <mergeCell ref="I54:K60"/>
    <mergeCell ref="I63:K64"/>
    <mergeCell ref="I65:K71"/>
    <mergeCell ref="I74:K75"/>
    <mergeCell ref="F4:J4"/>
    <mergeCell ref="F3:J3"/>
    <mergeCell ref="H179:H185"/>
    <mergeCell ref="H157:H163"/>
    <mergeCell ref="G166:G167"/>
    <mergeCell ref="H166:H167"/>
    <mergeCell ref="H168:H174"/>
    <mergeCell ref="I179:K185"/>
    <mergeCell ref="H133:H139"/>
    <mergeCell ref="G144:G145"/>
    <mergeCell ref="H144:H145"/>
    <mergeCell ref="I133:K139"/>
    <mergeCell ref="I144:K145"/>
    <mergeCell ref="H146:H152"/>
    <mergeCell ref="G155:G156"/>
    <mergeCell ref="H155:H156"/>
    <mergeCell ref="H76:H82"/>
    <mergeCell ref="G85:G86"/>
    <mergeCell ref="H85:H86"/>
    <mergeCell ref="I76:K82"/>
    <mergeCell ref="I85:K86"/>
    <mergeCell ref="I87:K93"/>
    <mergeCell ref="I98:K99"/>
    <mergeCell ref="H100:H106"/>
    <mergeCell ref="I1:I2"/>
    <mergeCell ref="G177:G178"/>
    <mergeCell ref="H177:H178"/>
    <mergeCell ref="I146:K152"/>
    <mergeCell ref="I155:K156"/>
    <mergeCell ref="I157:K163"/>
    <mergeCell ref="I166:K167"/>
    <mergeCell ref="I168:K174"/>
    <mergeCell ref="I177:K178"/>
    <mergeCell ref="I122:K128"/>
    <mergeCell ref="I131:K132"/>
    <mergeCell ref="H111:H117"/>
    <mergeCell ref="G120:G121"/>
    <mergeCell ref="H120:H121"/>
    <mergeCell ref="I100:K106"/>
    <mergeCell ref="I109:K110"/>
    <mergeCell ref="I111:K117"/>
    <mergeCell ref="I120:K121"/>
    <mergeCell ref="H122:H128"/>
    <mergeCell ref="G131:G132"/>
    <mergeCell ref="H131:H132"/>
    <mergeCell ref="H87:H93"/>
    <mergeCell ref="G98:G99"/>
    <mergeCell ref="H98:H99"/>
  </mergeCells>
  <phoneticPr fontId="7" type="noConversion"/>
  <conditionalFormatting sqref="G10:G16">
    <cfRule type="cellIs" dxfId="65" priority="613" operator="lessThan">
      <formula>$G$6/100</formula>
    </cfRule>
    <cfRule type="cellIs" dxfId="64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21:G27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21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32:G38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32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43:G49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43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54:G60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54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65:G71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65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76:G82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76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87:G93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87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100:G106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100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111:G117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111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122:G128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122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33:G139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33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46:G152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46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157:G163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157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168:G174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168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179:G185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179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</vt:lpstr>
      <vt:lpstr>'Calibration result'!Print_Titles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2024-04-23T06:23:39Z</cp:lastPrinted>
  <dcterms:created xsi:type="dcterms:W3CDTF">2022-12-06T12:02:00Z</dcterms:created>
  <dcterms:modified xsi:type="dcterms:W3CDTF">2024-05-24T01:51:23Z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