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D\svn\SoftWare\tag\WindLabX2\data\1604V2\"/>
    </mc:Choice>
  </mc:AlternateContent>
  <bookViews>
    <workbookView xWindow="-120" yWindow="-120" windowWidth="29040" windowHeight="16440"/>
  </bookViews>
  <sheets>
    <sheet name="校准结果" sheetId="16" r:id="rId1"/>
  </sheets>
  <definedNames>
    <definedName name="_xlnm.Print_Titles" localSheetId="0">校准结果!$1:$4</definedName>
    <definedName name="单位">校准结果!$N$5</definedName>
    <definedName name="量程最大值">校准结果!$N$6</definedName>
    <definedName name="量程最小值">校准结果!$L$6</definedName>
    <definedName name="通道1">校准结果!$A$10</definedName>
    <definedName name="通道10">校准结果!$A$66</definedName>
    <definedName name="通道11">校准结果!$A$72</definedName>
    <definedName name="通道12">校准结果!$A$78</definedName>
    <definedName name="通道13">校准结果!$A$84</definedName>
    <definedName name="通道14">校准结果!$A$90</definedName>
    <definedName name="通道15">校准结果!$A$98</definedName>
    <definedName name="通道16">校准结果!$A$104</definedName>
    <definedName name="通道2">校准结果!$A$16</definedName>
    <definedName name="通道3">校准结果!$A$22</definedName>
    <definedName name="通道4">校准结果!$A$28</definedName>
    <definedName name="通道5">校准结果!$A$34</definedName>
    <definedName name="通道6">校准结果!$A$40</definedName>
    <definedName name="通道7">校准结果!$A$46</definedName>
    <definedName name="通道8">校准结果!$A$54</definedName>
    <definedName name="通道9">校准结果!$A$60</definedName>
    <definedName name="校准日期">校准结果!$L$5</definedName>
    <definedName name="准确度等级">校准结果!$J$6</definedName>
  </definedNames>
  <calcPr calcId="162913"/>
</workbook>
</file>

<file path=xl/calcChain.xml><?xml version="1.0" encoding="utf-8"?>
<calcChain xmlns="http://schemas.openxmlformats.org/spreadsheetml/2006/main">
  <c r="L105" i="16" l="1"/>
  <c r="J105" i="16"/>
  <c r="K104" i="16" s="1"/>
  <c r="I105" i="16"/>
  <c r="L104" i="16"/>
  <c r="M104" i="16" s="1"/>
  <c r="J104" i="16"/>
  <c r="I104" i="16"/>
  <c r="I103" i="16"/>
  <c r="J101" i="16"/>
  <c r="L99" i="16"/>
  <c r="J99" i="16"/>
  <c r="I99" i="16"/>
  <c r="L98" i="16"/>
  <c r="M98" i="16" s="1"/>
  <c r="J98" i="16"/>
  <c r="K98" i="16" s="1"/>
  <c r="I98" i="16"/>
  <c r="I97" i="16"/>
  <c r="J95" i="16"/>
  <c r="L91" i="16"/>
  <c r="J91" i="16"/>
  <c r="I91" i="16"/>
  <c r="L90" i="16"/>
  <c r="M90" i="16" s="1"/>
  <c r="K90" i="16"/>
  <c r="J90" i="16"/>
  <c r="I90" i="16"/>
  <c r="I89" i="16"/>
  <c r="J87" i="16"/>
  <c r="L85" i="16"/>
  <c r="J85" i="16"/>
  <c r="I85" i="16"/>
  <c r="L84" i="16"/>
  <c r="M84" i="16" s="1"/>
  <c r="J84" i="16"/>
  <c r="K84" i="16" s="1"/>
  <c r="I84" i="16"/>
  <c r="I83" i="16"/>
  <c r="J81" i="16"/>
  <c r="L79" i="16"/>
  <c r="J79" i="16"/>
  <c r="I79" i="16"/>
  <c r="L78" i="16"/>
  <c r="M78" i="16" s="1"/>
  <c r="K78" i="16"/>
  <c r="J78" i="16"/>
  <c r="I78" i="16"/>
  <c r="I77" i="16"/>
  <c r="J75" i="16"/>
  <c r="L73" i="16"/>
  <c r="J73" i="16"/>
  <c r="I73" i="16"/>
  <c r="L72" i="16"/>
  <c r="M72" i="16" s="1"/>
  <c r="K72" i="16"/>
  <c r="J72" i="16"/>
  <c r="I72" i="16"/>
  <c r="I71" i="16"/>
  <c r="J69" i="16"/>
  <c r="L67" i="16"/>
  <c r="J67" i="16"/>
  <c r="K66" i="16" s="1"/>
  <c r="I67" i="16"/>
  <c r="L66" i="16"/>
  <c r="M66" i="16" s="1"/>
  <c r="J66" i="16"/>
  <c r="I66" i="16"/>
  <c r="I65" i="16"/>
  <c r="J63" i="16"/>
  <c r="L61" i="16"/>
  <c r="J61" i="16"/>
  <c r="K60" i="16" s="1"/>
  <c r="I61" i="16"/>
  <c r="L60" i="16"/>
  <c r="M60" i="16" s="1"/>
  <c r="J60" i="16"/>
  <c r="I60" i="16"/>
  <c r="I59" i="16"/>
  <c r="J57" i="16"/>
  <c r="L55" i="16"/>
  <c r="J55" i="16"/>
  <c r="I55" i="16"/>
  <c r="L54" i="16"/>
  <c r="M54" i="16" s="1"/>
  <c r="K54" i="16"/>
  <c r="J54" i="16"/>
  <c r="I54" i="16"/>
  <c r="I53" i="16"/>
  <c r="J51" i="16"/>
  <c r="L47" i="16"/>
  <c r="J47" i="16"/>
  <c r="K46" i="16" s="1"/>
  <c r="I47" i="16"/>
  <c r="L46" i="16"/>
  <c r="M46" i="16" s="1"/>
  <c r="J46" i="16"/>
  <c r="I46" i="16"/>
  <c r="I45" i="16"/>
  <c r="J43" i="16"/>
  <c r="L41" i="16"/>
  <c r="J41" i="16"/>
  <c r="I41" i="16"/>
  <c r="L40" i="16"/>
  <c r="M40" i="16" s="1"/>
  <c r="J40" i="16"/>
  <c r="K40" i="16" s="1"/>
  <c r="I40" i="16"/>
  <c r="I39" i="16"/>
  <c r="J37" i="16"/>
  <c r="L35" i="16"/>
  <c r="J35" i="16"/>
  <c r="I35" i="16"/>
  <c r="L34" i="16"/>
  <c r="M34" i="16" s="1"/>
  <c r="K34" i="16"/>
  <c r="J34" i="16"/>
  <c r="I34" i="16"/>
  <c r="I33" i="16"/>
  <c r="J31" i="16"/>
  <c r="L29" i="16"/>
  <c r="J29" i="16"/>
  <c r="K28" i="16" s="1"/>
  <c r="I29" i="16"/>
  <c r="L28" i="16"/>
  <c r="M28" i="16" s="1"/>
  <c r="J28" i="16"/>
  <c r="I28" i="16"/>
  <c r="I27" i="16"/>
  <c r="J25" i="16"/>
  <c r="L23" i="16"/>
  <c r="M22" i="16" s="1"/>
  <c r="J23" i="16"/>
  <c r="K22" i="16" s="1"/>
  <c r="I23" i="16"/>
  <c r="L22" i="16"/>
  <c r="J22" i="16"/>
  <c r="I22" i="16"/>
  <c r="I21" i="16"/>
  <c r="J19" i="16"/>
  <c r="L17" i="16"/>
  <c r="J17" i="16"/>
  <c r="K16" i="16" s="1"/>
  <c r="I17" i="16"/>
  <c r="M16" i="16"/>
  <c r="L16" i="16"/>
  <c r="J16" i="16"/>
  <c r="I16" i="16"/>
  <c r="I15" i="16"/>
  <c r="J13" i="16"/>
  <c r="D28" i="16"/>
  <c r="E28" i="16"/>
  <c r="D29" i="16"/>
  <c r="E29" i="16"/>
  <c r="E13" i="16"/>
  <c r="E101" i="16" l="1"/>
  <c r="E95" i="16"/>
  <c r="E87" i="16"/>
  <c r="E81" i="16"/>
  <c r="E75" i="16"/>
  <c r="E69" i="16"/>
  <c r="E63" i="16"/>
  <c r="E57" i="16"/>
  <c r="E51" i="16"/>
  <c r="E43" i="16"/>
  <c r="E37" i="16"/>
  <c r="E31" i="16"/>
  <c r="E25" i="16"/>
  <c r="E19" i="16"/>
  <c r="E7" i="16"/>
  <c r="I9" i="16"/>
  <c r="I11" i="16" l="1"/>
  <c r="I10" i="16"/>
  <c r="J7" i="16"/>
  <c r="E105" i="16" l="1"/>
  <c r="D105" i="16"/>
  <c r="E104" i="16"/>
  <c r="D104" i="16"/>
  <c r="E99" i="16"/>
  <c r="D99" i="16"/>
  <c r="E98" i="16"/>
  <c r="D98" i="16"/>
  <c r="E91" i="16"/>
  <c r="D91" i="16"/>
  <c r="E90" i="16"/>
  <c r="D90" i="16"/>
  <c r="E85" i="16"/>
  <c r="D85" i="16"/>
  <c r="E84" i="16"/>
  <c r="D84" i="16"/>
  <c r="E79" i="16"/>
  <c r="D79" i="16"/>
  <c r="E78" i="16"/>
  <c r="D78" i="16"/>
  <c r="E73" i="16"/>
  <c r="D73" i="16"/>
  <c r="E72" i="16"/>
  <c r="D72" i="16"/>
  <c r="E67" i="16"/>
  <c r="D67" i="16"/>
  <c r="E66" i="16"/>
  <c r="D66" i="16"/>
  <c r="E61" i="16"/>
  <c r="D61" i="16"/>
  <c r="E60" i="16"/>
  <c r="D60" i="16"/>
  <c r="E55" i="16"/>
  <c r="D55" i="16"/>
  <c r="E54" i="16"/>
  <c r="D54" i="16"/>
  <c r="E47" i="16"/>
  <c r="D47" i="16"/>
  <c r="E46" i="16"/>
  <c r="D46" i="16"/>
  <c r="E41" i="16"/>
  <c r="D41" i="16"/>
  <c r="E40" i="16"/>
  <c r="D40" i="16"/>
  <c r="E35" i="16"/>
  <c r="D35" i="16"/>
  <c r="E34" i="16"/>
  <c r="D34" i="16"/>
  <c r="E23" i="16"/>
  <c r="D23" i="16"/>
  <c r="E22" i="16"/>
  <c r="D22" i="16"/>
  <c r="E17" i="16"/>
  <c r="D17" i="16"/>
  <c r="E16" i="16"/>
  <c r="D16" i="16"/>
  <c r="E11" i="16"/>
  <c r="L11" i="16" s="1"/>
  <c r="D11" i="16"/>
  <c r="J11" i="16" s="1"/>
  <c r="E10" i="16"/>
  <c r="D10" i="16"/>
  <c r="J10" i="16" s="1"/>
  <c r="L10" i="16" l="1"/>
  <c r="M10" i="16" s="1"/>
  <c r="K10" i="16"/>
</calcChain>
</file>

<file path=xl/sharedStrings.xml><?xml version="1.0" encoding="utf-8"?>
<sst xmlns="http://schemas.openxmlformats.org/spreadsheetml/2006/main" count="290" uniqueCount="57">
  <si>
    <t>Results of Calibration</t>
  </si>
  <si>
    <t>Blank Below</t>
  </si>
  <si>
    <t>以下空白</t>
  </si>
  <si>
    <r>
      <rPr>
        <i/>
        <sz val="11"/>
        <color theme="1"/>
        <rFont val="Times New Roman"/>
        <family val="1"/>
      </rPr>
      <t>U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%FS</t>
    </r>
    <r>
      <rPr>
        <sz val="11"/>
        <color theme="1"/>
        <rFont val="宋体"/>
        <family val="3"/>
        <charset val="134"/>
      </rPr>
      <t>）
（</t>
    </r>
    <r>
      <rPr>
        <i/>
        <sz val="11"/>
        <color theme="1"/>
        <rFont val="Times New Roman"/>
        <family val="1"/>
      </rPr>
      <t>k</t>
    </r>
    <r>
      <rPr>
        <sz val="11"/>
        <color theme="1"/>
        <rFont val="Times New Roman"/>
        <family val="1"/>
      </rPr>
      <t>=2</t>
    </r>
    <r>
      <rPr>
        <sz val="11"/>
        <color theme="1"/>
        <rFont val="宋体"/>
        <family val="3"/>
        <charset val="134"/>
      </rPr>
      <t>）</t>
    </r>
    <phoneticPr fontId="8" type="noConversion"/>
  </si>
  <si>
    <r>
      <rPr>
        <sz val="11"/>
        <color theme="1"/>
        <rFont val="宋体"/>
        <family val="3"/>
        <charset val="134"/>
      </rPr>
      <t>正行程示值</t>
    </r>
    <phoneticPr fontId="8" type="noConversion"/>
  </si>
  <si>
    <r>
      <rPr>
        <sz val="11"/>
        <color theme="1"/>
        <rFont val="宋体"/>
        <family val="3"/>
        <charset val="134"/>
      </rPr>
      <t>反行程示值</t>
    </r>
    <phoneticPr fontId="8" type="noConversion"/>
  </si>
  <si>
    <t>CH1</t>
    <phoneticPr fontId="8" type="noConversion"/>
  </si>
  <si>
    <r>
      <rPr>
        <b/>
        <sz val="11"/>
        <color theme="1"/>
        <rFont val="宋体"/>
        <family val="3"/>
        <charset val="134"/>
      </rPr>
      <t>通道编号：</t>
    </r>
    <phoneticPr fontId="8" type="noConversion"/>
  </si>
  <si>
    <t>CH2</t>
    <phoneticPr fontId="8" type="noConversion"/>
  </si>
  <si>
    <t>CH3</t>
    <phoneticPr fontId="8" type="noConversion"/>
  </si>
  <si>
    <t>CH4</t>
    <phoneticPr fontId="8" type="noConversion"/>
  </si>
  <si>
    <t>CH5</t>
    <phoneticPr fontId="8" type="noConversion"/>
  </si>
  <si>
    <t>CH6</t>
    <phoneticPr fontId="8" type="noConversion"/>
  </si>
  <si>
    <t>CH7</t>
    <phoneticPr fontId="8" type="noConversion"/>
  </si>
  <si>
    <t>CH8</t>
    <phoneticPr fontId="8" type="noConversion"/>
  </si>
  <si>
    <t>CH9</t>
    <phoneticPr fontId="8" type="noConversion"/>
  </si>
  <si>
    <t>CH10</t>
    <phoneticPr fontId="8" type="noConversion"/>
  </si>
  <si>
    <t>CH11</t>
    <phoneticPr fontId="8" type="noConversion"/>
  </si>
  <si>
    <t>CH12</t>
    <phoneticPr fontId="8" type="noConversion"/>
  </si>
  <si>
    <t>CH13</t>
    <phoneticPr fontId="8" type="noConversion"/>
  </si>
  <si>
    <t>CH14</t>
    <phoneticPr fontId="8" type="noConversion"/>
  </si>
  <si>
    <t>CH15</t>
    <phoneticPr fontId="8" type="noConversion"/>
  </si>
  <si>
    <t>CH16</t>
    <phoneticPr fontId="8" type="noConversion"/>
  </si>
  <si>
    <t>校准结果</t>
    <phoneticPr fontId="8" type="noConversion"/>
  </si>
  <si>
    <t>结果分析</t>
    <phoneticPr fontId="8" type="noConversion"/>
  </si>
  <si>
    <t>单位：</t>
    <phoneticPr fontId="8" type="noConversion"/>
  </si>
  <si>
    <t>回程误差</t>
    <phoneticPr fontId="8" type="noConversion"/>
  </si>
  <si>
    <t>示值误差</t>
    <phoneticPr fontId="8" type="noConversion"/>
  </si>
  <si>
    <t>标准压力值</t>
    <phoneticPr fontId="8" type="noConversion"/>
  </si>
  <si>
    <t>被校设备显示值</t>
    <phoneticPr fontId="8" type="noConversion"/>
  </si>
  <si>
    <t>max</t>
    <phoneticPr fontId="8" type="noConversion"/>
  </si>
  <si>
    <t>psi</t>
    <phoneticPr fontId="8" type="noConversion"/>
  </si>
  <si>
    <t>Results analysis</t>
    <phoneticPr fontId="8" type="noConversion"/>
  </si>
  <si>
    <t>丨示值误差丨
/满量程</t>
    <phoneticPr fontId="8" type="noConversion"/>
  </si>
  <si>
    <t>丨回程误差丨
/满量程</t>
    <phoneticPr fontId="8" type="noConversion"/>
  </si>
  <si>
    <t>备注</t>
    <phoneticPr fontId="8" type="noConversion"/>
  </si>
  <si>
    <t>证书编号：</t>
    <phoneticPr fontId="8" type="noConversion"/>
  </si>
  <si>
    <t>Certificate No.</t>
    <phoneticPr fontId="8" type="noConversion"/>
  </si>
  <si>
    <t>Example</t>
    <phoneticPr fontId="8" type="noConversion"/>
  </si>
  <si>
    <t>Unqualified</t>
    <phoneticPr fontId="8" type="noConversion"/>
  </si>
  <si>
    <t>Qualified</t>
    <phoneticPr fontId="8" type="noConversion"/>
  </si>
  <si>
    <t>Equipment Number：</t>
    <phoneticPr fontId="8" type="noConversion"/>
  </si>
  <si>
    <t>Calibration Date：</t>
    <phoneticPr fontId="8" type="noConversion"/>
  </si>
  <si>
    <t>Unit：</t>
    <phoneticPr fontId="8" type="noConversion"/>
  </si>
  <si>
    <t>Accuracy</t>
    <phoneticPr fontId="8" type="noConversion"/>
  </si>
  <si>
    <t>Min(Range)：</t>
    <phoneticPr fontId="8" type="noConversion"/>
  </si>
  <si>
    <t>Max(Range)：</t>
    <phoneticPr fontId="8" type="noConversion"/>
  </si>
  <si>
    <t>Unit：</t>
    <phoneticPr fontId="8" type="noConversion"/>
  </si>
  <si>
    <t>Channel number：</t>
    <phoneticPr fontId="8" type="noConversion"/>
  </si>
  <si>
    <t>Pressure of the calibrated equipment</t>
    <phoneticPr fontId="8" type="noConversion"/>
  </si>
  <si>
    <t>Standard pressure</t>
    <phoneticPr fontId="8" type="noConversion"/>
  </si>
  <si>
    <t>Standard pressure</t>
    <phoneticPr fontId="8" type="noConversion"/>
  </si>
  <si>
    <t>Pressure of the calibrated equipment</t>
    <phoneticPr fontId="8" type="noConversion"/>
  </si>
  <si>
    <t>Forward stroke</t>
    <phoneticPr fontId="8" type="noConversion"/>
  </si>
  <si>
    <t>Backward stroke</t>
    <phoneticPr fontId="8" type="noConversion"/>
  </si>
  <si>
    <t>Indication error</t>
    <phoneticPr fontId="8" type="noConversion"/>
  </si>
  <si>
    <t>Return error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</si>
</sst>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"/>
    <numFmt numFmtId="177" formatCode="0.000"/>
    <numFmt numFmtId="178" formatCode="0.000_ "/>
    <numFmt numFmtId="179" formatCode="0.000%"/>
    <numFmt numFmtId="180" formatCode="0.0000"/>
  </numFmts>
  <fonts count="19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2"/>
      <color theme="1"/>
      <name val="宋体"/>
      <family val="3"/>
      <charset val="134"/>
    </font>
    <font>
      <sz val="10"/>
      <color theme="1"/>
      <name val="Times New Roman"/>
      <family val="1"/>
    </font>
    <font>
      <sz val="20"/>
      <color theme="1"/>
      <name val="黑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1"/>
      <charset val="134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20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1"/>
      <charset val="134"/>
    </font>
    <font>
      <b/>
      <sz val="11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9" fillId="0" borderId="0"/>
    <xf numFmtId="0" fontId="10" fillId="0" borderId="0">
      <alignment vertical="center"/>
    </xf>
    <xf numFmtId="0" fontId="2" fillId="0" borderId="0"/>
    <xf numFmtId="0" fontId="1" fillId="0" borderId="0"/>
    <xf numFmtId="9" fontId="16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6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right" vertical="top"/>
    </xf>
    <xf numFmtId="0" fontId="13" fillId="0" borderId="8" xfId="2" applyFont="1" applyBorder="1" applyAlignment="1" applyProtection="1">
      <alignment vertical="center" wrapText="1"/>
      <protection locked="0"/>
    </xf>
    <xf numFmtId="0" fontId="6" fillId="0" borderId="8" xfId="2" applyFont="1" applyBorder="1" applyAlignment="1" applyProtection="1">
      <alignment horizontal="center" vertical="center" wrapText="1"/>
      <protection locked="0"/>
    </xf>
    <xf numFmtId="0" fontId="6" fillId="0" borderId="0" xfId="2" applyFont="1" applyProtection="1">
      <alignment vertical="center"/>
      <protection locked="0"/>
    </xf>
    <xf numFmtId="0" fontId="4" fillId="0" borderId="0" xfId="2" applyFont="1" applyAlignment="1" applyProtection="1">
      <alignment horizontal="center" vertical="center"/>
      <protection locked="0"/>
    </xf>
    <xf numFmtId="0" fontId="6" fillId="2" borderId="1" xfId="2" applyFont="1" applyFill="1" applyBorder="1" applyAlignment="1" applyProtection="1">
      <alignment horizontal="center" vertical="center" wrapText="1"/>
      <protection locked="0"/>
    </xf>
    <xf numFmtId="177" fontId="6" fillId="0" borderId="1" xfId="2" applyNumberFormat="1" applyFont="1" applyBorder="1" applyAlignment="1" applyProtection="1">
      <alignment horizontal="center" vertical="center"/>
      <protection locked="0"/>
    </xf>
    <xf numFmtId="178" fontId="6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13" fillId="0" borderId="8" xfId="2" applyFont="1" applyBorder="1" applyAlignment="1" applyProtection="1">
      <alignment horizontal="center" vertical="center" wrapText="1"/>
      <protection locked="0"/>
    </xf>
    <xf numFmtId="0" fontId="17" fillId="0" borderId="8" xfId="2" applyFont="1" applyBorder="1" applyAlignment="1" applyProtection="1">
      <alignment horizontal="center" vertical="center" wrapText="1"/>
      <protection locked="0"/>
    </xf>
    <xf numFmtId="0" fontId="6" fillId="0" borderId="0" xfId="2" applyFont="1" applyAlignment="1" applyProtection="1">
      <alignment horizontal="center" vertical="center" wrapText="1"/>
      <protection locked="0"/>
    </xf>
    <xf numFmtId="179" fontId="6" fillId="0" borderId="1" xfId="5" applyNumberFormat="1" applyFont="1" applyBorder="1" applyAlignment="1" applyProtection="1">
      <alignment horizontal="center" vertical="center"/>
      <protection locked="0"/>
    </xf>
    <xf numFmtId="0" fontId="5" fillId="0" borderId="0" xfId="2" applyFont="1" applyAlignment="1">
      <alignment horizontal="center" vertical="center"/>
    </xf>
    <xf numFmtId="0" fontId="11" fillId="0" borderId="1" xfId="2" applyFont="1" applyBorder="1" applyAlignment="1" applyProtection="1">
      <alignment horizontal="center" vertical="center"/>
      <protection locked="0"/>
    </xf>
    <xf numFmtId="0" fontId="6" fillId="0" borderId="1" xfId="2" applyFont="1" applyBorder="1" applyAlignment="1" applyProtection="1">
      <alignment horizontal="center" vertical="center"/>
      <protection locked="0"/>
    </xf>
    <xf numFmtId="0" fontId="13" fillId="0" borderId="0" xfId="2" applyFont="1" applyAlignment="1" applyProtection="1">
      <alignment horizontal="center" vertical="center" wrapText="1"/>
      <protection locked="0"/>
    </xf>
    <xf numFmtId="0" fontId="11" fillId="0" borderId="1" xfId="2" applyFont="1" applyBorder="1" applyAlignment="1">
      <alignment horizontal="center" vertical="center" wrapText="1"/>
    </xf>
    <xf numFmtId="31" fontId="11" fillId="0" borderId="1" xfId="2" applyNumberFormat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18" fillId="0" borderId="1" xfId="2" applyFont="1" applyBorder="1" applyAlignment="1" applyProtection="1">
      <alignment horizontal="center" vertical="center" wrapText="1"/>
      <protection locked="0"/>
    </xf>
    <xf numFmtId="180" fontId="4" fillId="0" borderId="1" xfId="0" applyNumberFormat="1" applyFont="1" applyBorder="1" applyAlignment="1">
      <alignment horizontal="center" vertical="center"/>
    </xf>
    <xf numFmtId="180" fontId="4" fillId="0" borderId="1" xfId="2" applyNumberFormat="1" applyFont="1" applyBorder="1" applyAlignment="1" applyProtection="1">
      <alignment horizontal="center" vertical="center"/>
      <protection locked="0"/>
    </xf>
    <xf numFmtId="180" fontId="6" fillId="0" borderId="1" xfId="2" applyNumberFormat="1" applyFont="1" applyBorder="1" applyAlignment="1" applyProtection="1">
      <alignment horizontal="center" vertical="center" wrapText="1"/>
      <protection locked="0"/>
    </xf>
    <xf numFmtId="180" fontId="6" fillId="0" borderId="1" xfId="2" applyNumberFormat="1" applyFont="1" applyBorder="1" applyAlignment="1" applyProtection="1">
      <alignment horizontal="center" vertical="center"/>
      <protection locked="0"/>
    </xf>
    <xf numFmtId="0" fontId="3" fillId="0" borderId="0" xfId="2" applyFont="1" applyAlignment="1">
      <alignment horizontal="right" vertical="center"/>
    </xf>
    <xf numFmtId="180" fontId="4" fillId="0" borderId="0" xfId="0" applyNumberFormat="1" applyFont="1" applyAlignment="1">
      <alignment horizontal="center" vertical="center"/>
    </xf>
    <xf numFmtId="180" fontId="4" fillId="0" borderId="0" xfId="2" applyNumberFormat="1" applyFont="1" applyAlignment="1" applyProtection="1">
      <alignment horizontal="center" vertical="center"/>
      <protection locked="0"/>
    </xf>
    <xf numFmtId="180" fontId="6" fillId="0" borderId="0" xfId="2" applyNumberFormat="1" applyFont="1" applyAlignment="1" applyProtection="1">
      <alignment horizontal="center" vertical="center" wrapText="1"/>
      <protection locked="0"/>
    </xf>
    <xf numFmtId="178" fontId="6" fillId="2" borderId="0" xfId="2" applyNumberFormat="1" applyFont="1" applyFill="1" applyAlignment="1" applyProtection="1">
      <alignment horizontal="center" vertical="center" wrapText="1"/>
      <protection locked="0"/>
    </xf>
    <xf numFmtId="180" fontId="6" fillId="0" borderId="0" xfId="2" applyNumberFormat="1" applyFont="1" applyAlignment="1" applyProtection="1">
      <alignment horizontal="center" vertical="center"/>
      <protection locked="0"/>
    </xf>
    <xf numFmtId="179" fontId="6" fillId="0" borderId="0" xfId="5" applyNumberFormat="1" applyFont="1" applyBorder="1" applyAlignment="1" applyProtection="1">
      <alignment horizontal="center" vertical="center"/>
      <protection locked="0"/>
    </xf>
    <xf numFmtId="0" fontId="6" fillId="0" borderId="0" xfId="2" applyFont="1" applyAlignment="1" applyProtection="1">
      <alignment horizontal="center" vertical="center"/>
      <protection locked="0"/>
    </xf>
    <xf numFmtId="176" fontId="6" fillId="0" borderId="3" xfId="2" applyNumberFormat="1" applyFont="1" applyBorder="1" applyAlignment="1" applyProtection="1">
      <alignment horizontal="center" vertical="center"/>
      <protection locked="0"/>
    </xf>
    <xf numFmtId="176" fontId="11" fillId="0" borderId="2" xfId="2" applyNumberFormat="1" applyFont="1" applyBorder="1" applyAlignment="1" applyProtection="1">
      <alignment horizontal="center" vertical="center"/>
      <protection locked="0"/>
    </xf>
    <xf numFmtId="0" fontId="11" fillId="0" borderId="1" xfId="2" applyFont="1" applyBorder="1" applyAlignment="1" applyProtection="1">
      <alignment horizontal="center" vertical="center"/>
      <protection locked="0"/>
    </xf>
    <xf numFmtId="0" fontId="6" fillId="0" borderId="1" xfId="2" applyFont="1" applyBorder="1" applyAlignment="1" applyProtection="1">
      <alignment horizontal="center" vertical="center"/>
      <protection locked="0"/>
    </xf>
    <xf numFmtId="0" fontId="11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11" fillId="0" borderId="1" xfId="2" applyFont="1" applyBorder="1" applyAlignment="1" applyProtection="1">
      <alignment horizontal="center" vertical="center" wrapText="1"/>
      <protection locked="0"/>
    </xf>
    <xf numFmtId="179" fontId="6" fillId="0" borderId="2" xfId="5" applyNumberFormat="1" applyFont="1" applyBorder="1" applyAlignment="1" applyProtection="1">
      <alignment horizontal="center" vertical="center"/>
      <protection locked="0"/>
    </xf>
    <xf numFmtId="179" fontId="6" fillId="0" borderId="3" xfId="5" applyNumberFormat="1" applyFont="1" applyBorder="1" applyAlignment="1" applyProtection="1">
      <alignment horizontal="center" vertical="center"/>
      <protection locked="0"/>
    </xf>
    <xf numFmtId="176" fontId="11" fillId="0" borderId="10" xfId="2" applyNumberFormat="1" applyFont="1" applyBorder="1" applyAlignment="1" applyProtection="1">
      <alignment horizontal="center" vertical="center" wrapText="1"/>
      <protection locked="0"/>
    </xf>
    <xf numFmtId="176" fontId="11" fillId="0" borderId="1" xfId="2" applyNumberFormat="1" applyFont="1" applyBorder="1" applyAlignment="1" applyProtection="1">
      <alignment horizontal="center" vertical="center" wrapText="1"/>
      <protection locked="0"/>
    </xf>
    <xf numFmtId="176" fontId="6" fillId="0" borderId="1" xfId="2" applyNumberFormat="1" applyFont="1" applyBorder="1" applyAlignment="1" applyProtection="1">
      <alignment horizontal="center" vertical="center"/>
      <protection locked="0"/>
    </xf>
    <xf numFmtId="0" fontId="5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176" fontId="6" fillId="2" borderId="3" xfId="2" applyNumberFormat="1" applyFont="1" applyFill="1" applyBorder="1" applyAlignment="1" applyProtection="1">
      <alignment horizontal="center" vertical="center" wrapText="1"/>
      <protection locked="0"/>
    </xf>
    <xf numFmtId="176" fontId="6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7" fillId="2" borderId="3" xfId="2" applyFont="1" applyFill="1" applyBorder="1" applyAlignment="1" applyProtection="1">
      <alignment horizontal="center" vertical="center" wrapText="1"/>
      <protection locked="0"/>
    </xf>
    <xf numFmtId="0" fontId="6" fillId="2" borderId="1" xfId="2" applyFont="1" applyFill="1" applyBorder="1" applyAlignment="1" applyProtection="1">
      <alignment horizontal="center" vertical="center" wrapText="1"/>
      <protection locked="0"/>
    </xf>
    <xf numFmtId="0" fontId="6" fillId="2" borderId="3" xfId="2" applyFont="1" applyFill="1" applyBorder="1" applyAlignment="1" applyProtection="1">
      <alignment horizontal="center" vertical="center" wrapText="1"/>
      <protection locked="0"/>
    </xf>
    <xf numFmtId="176" fontId="7" fillId="0" borderId="3" xfId="2" applyNumberFormat="1" applyFont="1" applyBorder="1" applyAlignment="1" applyProtection="1">
      <alignment horizontal="center" vertical="center" wrapText="1"/>
      <protection locked="0"/>
    </xf>
    <xf numFmtId="176" fontId="6" fillId="0" borderId="1" xfId="2" applyNumberFormat="1" applyFont="1" applyBorder="1" applyAlignment="1" applyProtection="1">
      <alignment horizontal="center" vertical="center" wrapText="1"/>
      <protection locked="0"/>
    </xf>
    <xf numFmtId="176" fontId="7" fillId="0" borderId="6" xfId="2" applyNumberFormat="1" applyFont="1" applyBorder="1" applyAlignment="1" applyProtection="1">
      <alignment horizontal="center" vertical="center" wrapText="1"/>
      <protection locked="0"/>
    </xf>
    <xf numFmtId="176" fontId="6" fillId="0" borderId="4" xfId="2" applyNumberFormat="1" applyFont="1" applyBorder="1" applyAlignment="1" applyProtection="1">
      <alignment horizontal="center" vertical="center" wrapText="1"/>
      <protection locked="0"/>
    </xf>
    <xf numFmtId="176" fontId="6" fillId="0" borderId="7" xfId="2" applyNumberFormat="1" applyFont="1" applyBorder="1" applyAlignment="1" applyProtection="1">
      <alignment horizontal="center" vertical="center" wrapText="1"/>
      <protection locked="0"/>
    </xf>
    <xf numFmtId="176" fontId="6" fillId="0" borderId="5" xfId="2" applyNumberFormat="1" applyFont="1" applyBorder="1" applyAlignment="1" applyProtection="1">
      <alignment horizontal="center" vertical="center" wrapText="1"/>
      <protection locked="0"/>
    </xf>
    <xf numFmtId="180" fontId="6" fillId="0" borderId="1" xfId="2" applyNumberFormat="1" applyFont="1" applyBorder="1" applyAlignment="1" applyProtection="1">
      <alignment horizontal="center" vertical="center" wrapText="1"/>
      <protection locked="0"/>
    </xf>
    <xf numFmtId="0" fontId="6" fillId="0" borderId="8" xfId="2" applyFont="1" applyBorder="1" applyAlignment="1" applyProtection="1">
      <alignment horizontal="center" vertical="center" wrapText="1"/>
      <protection locked="0"/>
    </xf>
    <xf numFmtId="0" fontId="7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7" fillId="2" borderId="2" xfId="2" applyFont="1" applyFill="1" applyBorder="1" applyAlignment="1" applyProtection="1">
      <alignment horizontal="center" vertical="center" wrapText="1"/>
      <protection locked="0"/>
    </xf>
    <xf numFmtId="0" fontId="7" fillId="2" borderId="9" xfId="2" applyFont="1" applyFill="1" applyBorder="1" applyAlignment="1" applyProtection="1">
      <alignment horizontal="center" vertical="center" wrapText="1"/>
      <protection locked="0"/>
    </xf>
    <xf numFmtId="0" fontId="7" fillId="2" borderId="10" xfId="2" applyFont="1" applyFill="1" applyBorder="1" applyAlignment="1" applyProtection="1">
      <alignment horizontal="center" vertical="center" wrapText="1"/>
      <protection locked="0"/>
    </xf>
    <xf numFmtId="176" fontId="7" fillId="0" borderId="2" xfId="2" applyNumberFormat="1" applyFont="1" applyBorder="1" applyAlignment="1" applyProtection="1">
      <alignment horizontal="center" vertical="center" wrapText="1"/>
      <protection locked="0"/>
    </xf>
    <xf numFmtId="176" fontId="7" fillId="0" borderId="4" xfId="2" applyNumberFormat="1" applyFont="1" applyBorder="1" applyAlignment="1" applyProtection="1">
      <alignment horizontal="center" vertical="center" wrapText="1"/>
      <protection locked="0"/>
    </xf>
    <xf numFmtId="176" fontId="7" fillId="0" borderId="7" xfId="2" applyNumberFormat="1" applyFont="1" applyBorder="1" applyAlignment="1" applyProtection="1">
      <alignment horizontal="center" vertical="center" wrapText="1"/>
      <protection locked="0"/>
    </xf>
    <xf numFmtId="176" fontId="7" fillId="0" borderId="5" xfId="2" applyNumberFormat="1" applyFont="1" applyBorder="1" applyAlignment="1" applyProtection="1">
      <alignment horizontal="center" vertical="center" wrapText="1"/>
      <protection locked="0"/>
    </xf>
    <xf numFmtId="0" fontId="6" fillId="0" borderId="0" xfId="2" applyFont="1" applyAlignment="1">
      <alignment horizontal="left" vertical="center"/>
    </xf>
    <xf numFmtId="176" fontId="6" fillId="2" borderId="2" xfId="2" applyNumberFormat="1" applyFont="1" applyFill="1" applyBorder="1" applyAlignment="1" applyProtection="1">
      <alignment horizontal="center" vertical="center" wrapText="1"/>
      <protection locked="0"/>
    </xf>
    <xf numFmtId="180" fontId="6" fillId="0" borderId="9" xfId="2" applyNumberFormat="1" applyFont="1" applyBorder="1" applyAlignment="1" applyProtection="1">
      <alignment horizontal="center" vertical="center" wrapText="1"/>
      <protection locked="0"/>
    </xf>
    <xf numFmtId="180" fontId="6" fillId="0" borderId="10" xfId="2" applyNumberFormat="1" applyFont="1" applyBorder="1" applyAlignment="1" applyProtection="1">
      <alignment horizontal="center" vertical="center" wrapText="1"/>
      <protection locked="0"/>
    </xf>
    <xf numFmtId="0" fontId="15" fillId="0" borderId="8" xfId="2" applyFont="1" applyBorder="1" applyAlignment="1" applyProtection="1">
      <alignment horizontal="center" vertical="center" wrapText="1"/>
      <protection locked="0"/>
    </xf>
    <xf numFmtId="0" fontId="15" fillId="0" borderId="0" xfId="2" applyFont="1" applyAlignment="1" applyProtection="1">
      <alignment horizontal="center" vertical="center" wrapText="1"/>
      <protection locked="0"/>
    </xf>
    <xf numFmtId="0" fontId="7" fillId="2" borderId="1" xfId="2" applyFont="1" applyFill="1" applyBorder="1" applyAlignment="1" applyProtection="1">
      <alignment horizontal="center" vertical="center" wrapText="1"/>
      <protection locked="0"/>
    </xf>
    <xf numFmtId="177" fontId="7" fillId="0" borderId="1" xfId="2" applyNumberFormat="1" applyFont="1" applyBorder="1" applyAlignment="1" applyProtection="1">
      <alignment horizontal="center" vertical="center"/>
      <protection locked="0"/>
    </xf>
  </cellXfs>
  <cellStyles count="6">
    <cellStyle name="百分比" xfId="5" builtinId="5"/>
    <cellStyle name="常规" xfId="0" builtinId="0"/>
    <cellStyle name="常规 2" xfId="1"/>
    <cellStyle name="常规 3" xfId="2"/>
    <cellStyle name="常规 4" xfId="3"/>
    <cellStyle name="常规 5" xfId="4"/>
  </cellStyles>
  <dxfs count="13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106</xdr:row>
      <xdr:rowOff>171450</xdr:rowOff>
    </xdr:from>
    <xdr:to>
      <xdr:col>3</xdr:col>
      <xdr:colOff>949325</xdr:colOff>
      <xdr:row>106</xdr:row>
      <xdr:rowOff>171450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9F8146C1-93A6-4748-BE50-C843E1297C21}"/>
            </a:ext>
          </a:extLst>
        </xdr:cNvPr>
        <xdr:cNvCxnSpPr/>
      </xdr:nvCxnSpPr>
      <xdr:spPr>
        <a:xfrm>
          <a:off x="2040255" y="37799010"/>
          <a:ext cx="19265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9"/>
  <sheetViews>
    <sheetView tabSelected="1" topLeftCell="A82" zoomScaleNormal="100" workbookViewId="0">
      <selection activeCell="G110" sqref="G110"/>
    </sheetView>
  </sheetViews>
  <sheetFormatPr defaultColWidth="9" defaultRowHeight="15" x14ac:dyDescent="0.15"/>
  <cols>
    <col min="1" max="4" width="14.625" style="1" customWidth="1"/>
    <col min="5" max="5" width="7.875" style="1" customWidth="1"/>
    <col min="6" max="6" width="6.5" style="1" customWidth="1"/>
    <col min="7" max="7" width="14.625" style="1" customWidth="1"/>
    <col min="8" max="8" width="3.75" style="1" customWidth="1"/>
    <col min="9" max="9" width="14.375" style="1" customWidth="1"/>
    <col min="10" max="10" width="13.625" style="1" customWidth="1"/>
    <col min="11" max="11" width="14.5" style="1" customWidth="1"/>
    <col min="12" max="12" width="13.25" style="1" customWidth="1"/>
    <col min="13" max="13" width="14.25" style="1" customWidth="1"/>
    <col min="14" max="14" width="13.5" style="1" customWidth="1"/>
    <col min="15" max="15" width="7.625" style="1" customWidth="1"/>
    <col min="16" max="16384" width="9" style="1"/>
  </cols>
  <sheetData>
    <row r="1" spans="1:15" ht="26.45" customHeight="1" x14ac:dyDescent="0.15">
      <c r="E1" s="27" t="s">
        <v>36</v>
      </c>
      <c r="F1" s="72"/>
      <c r="G1" s="72"/>
      <c r="L1" s="39" t="s">
        <v>38</v>
      </c>
      <c r="M1" s="19" t="s">
        <v>39</v>
      </c>
      <c r="N1" s="19" t="s">
        <v>40</v>
      </c>
    </row>
    <row r="2" spans="1:15" ht="15" customHeight="1" x14ac:dyDescent="0.15">
      <c r="E2" s="3" t="s">
        <v>37</v>
      </c>
      <c r="F2" s="3"/>
      <c r="L2" s="40"/>
      <c r="M2" s="14">
        <v>5.4000000000000001E-4</v>
      </c>
      <c r="N2" s="14">
        <v>1E-4</v>
      </c>
    </row>
    <row r="3" spans="1:15" ht="23.1" customHeight="1" x14ac:dyDescent="0.15">
      <c r="A3" s="47" t="s">
        <v>23</v>
      </c>
      <c r="B3" s="63"/>
      <c r="C3" s="63"/>
      <c r="D3" s="63"/>
      <c r="E3" s="63"/>
      <c r="F3" s="63"/>
      <c r="G3" s="63"/>
      <c r="I3" s="47" t="s">
        <v>24</v>
      </c>
      <c r="J3" s="47"/>
      <c r="K3" s="47"/>
      <c r="L3" s="47"/>
      <c r="M3" s="47"/>
      <c r="N3" s="15"/>
      <c r="O3" s="15"/>
    </row>
    <row r="4" spans="1:15" ht="11.1" customHeight="1" x14ac:dyDescent="0.15">
      <c r="A4" s="64" t="s">
        <v>0</v>
      </c>
      <c r="B4" s="64"/>
      <c r="C4" s="64"/>
      <c r="D4" s="64"/>
      <c r="E4" s="64"/>
      <c r="F4" s="64"/>
      <c r="G4" s="64"/>
      <c r="I4" s="48" t="s">
        <v>32</v>
      </c>
      <c r="J4" s="48"/>
      <c r="K4" s="48"/>
      <c r="L4" s="48"/>
      <c r="M4" s="48"/>
    </row>
    <row r="5" spans="1:15" ht="27" customHeight="1" x14ac:dyDescent="0.15">
      <c r="A5" s="2"/>
      <c r="B5" s="2"/>
      <c r="C5" s="2"/>
      <c r="D5" s="2"/>
      <c r="E5" s="2"/>
      <c r="F5" s="2"/>
      <c r="G5" s="2"/>
      <c r="I5" s="22" t="s">
        <v>41</v>
      </c>
      <c r="J5" s="21"/>
      <c r="K5" s="22" t="s">
        <v>42</v>
      </c>
      <c r="L5" s="20"/>
      <c r="M5" s="22" t="s">
        <v>43</v>
      </c>
      <c r="N5" s="21" t="s">
        <v>31</v>
      </c>
    </row>
    <row r="6" spans="1:15" s="6" customFormat="1" ht="15" customHeight="1" x14ac:dyDescent="0.15">
      <c r="A6" s="7"/>
      <c r="B6" s="7"/>
      <c r="C6" s="7"/>
      <c r="D6" s="7"/>
      <c r="E6" s="7"/>
      <c r="F6" s="7"/>
      <c r="G6" s="7"/>
      <c r="I6" s="22" t="s">
        <v>44</v>
      </c>
      <c r="J6" s="17">
        <v>0.05</v>
      </c>
      <c r="K6" s="22" t="s">
        <v>45</v>
      </c>
      <c r="L6" s="16">
        <v>0</v>
      </c>
      <c r="M6" s="22" t="s">
        <v>46</v>
      </c>
      <c r="N6" s="17">
        <v>100</v>
      </c>
    </row>
    <row r="7" spans="1:15" s="6" customFormat="1" ht="27.75" customHeight="1" x14ac:dyDescent="0.15">
      <c r="A7" s="76" t="s">
        <v>48</v>
      </c>
      <c r="B7" s="5" t="s">
        <v>6</v>
      </c>
      <c r="C7" s="11"/>
      <c r="D7" s="12" t="s">
        <v>47</v>
      </c>
      <c r="E7" s="61" t="str">
        <f>$N$5</f>
        <v>psi</v>
      </c>
      <c r="F7" s="61"/>
      <c r="G7" s="4"/>
      <c r="I7" s="77" t="s">
        <v>48</v>
      </c>
      <c r="J7" s="13" t="str">
        <f>B7</f>
        <v>CH1</v>
      </c>
      <c r="L7" s="12"/>
      <c r="M7" s="5"/>
      <c r="N7" s="13"/>
    </row>
    <row r="8" spans="1:15" s="6" customFormat="1" ht="27.75" customHeight="1" x14ac:dyDescent="0.15">
      <c r="A8" s="65" t="s">
        <v>50</v>
      </c>
      <c r="B8" s="51" t="s">
        <v>49</v>
      </c>
      <c r="C8" s="53"/>
      <c r="D8" s="54" t="s">
        <v>27</v>
      </c>
      <c r="E8" s="56" t="s">
        <v>26</v>
      </c>
      <c r="F8" s="57"/>
      <c r="G8" s="49" t="s">
        <v>3</v>
      </c>
      <c r="I8" s="36" t="s">
        <v>28</v>
      </c>
      <c r="J8" s="44" t="s">
        <v>33</v>
      </c>
      <c r="K8" s="46" t="s">
        <v>30</v>
      </c>
      <c r="L8" s="41" t="s">
        <v>34</v>
      </c>
      <c r="M8" s="38" t="s">
        <v>30</v>
      </c>
      <c r="N8" s="37" t="s">
        <v>35</v>
      </c>
    </row>
    <row r="9" spans="1:15" s="6" customFormat="1" x14ac:dyDescent="0.15">
      <c r="A9" s="51"/>
      <c r="B9" s="8" t="s">
        <v>4</v>
      </c>
      <c r="C9" s="9" t="s">
        <v>5</v>
      </c>
      <c r="D9" s="55"/>
      <c r="E9" s="58"/>
      <c r="F9" s="59"/>
      <c r="G9" s="50"/>
      <c r="I9" s="35" t="str">
        <f>"（"&amp;$N$5&amp;"）"</f>
        <v>（psi）</v>
      </c>
      <c r="J9" s="45"/>
      <c r="K9" s="46"/>
      <c r="L9" s="41"/>
      <c r="M9" s="38"/>
      <c r="N9" s="38"/>
    </row>
    <row r="10" spans="1:15" s="6" customFormat="1" x14ac:dyDescent="0.15">
      <c r="A10" s="23">
        <v>0</v>
      </c>
      <c r="B10" s="23">
        <v>0</v>
      </c>
      <c r="C10" s="24">
        <v>0</v>
      </c>
      <c r="D10" s="25">
        <f>IF(ABS(B10-A10)&gt;ABS(C10-A10),B10-A10,C10-A10)</f>
        <v>0</v>
      </c>
      <c r="E10" s="60">
        <f>ABS(B10-C10)</f>
        <v>0</v>
      </c>
      <c r="F10" s="60"/>
      <c r="G10" s="10">
        <v>1.2999999999999999E-2</v>
      </c>
      <c r="I10" s="26">
        <f t="shared" ref="I10:I11" si="0">A10</f>
        <v>0</v>
      </c>
      <c r="J10" s="14">
        <f>ABS(D10)/($N$6-$L$6)</f>
        <v>0</v>
      </c>
      <c r="K10" s="42">
        <f>MAX(J10:J11)</f>
        <v>0</v>
      </c>
      <c r="L10" s="14">
        <f>ABS(E10)/($N$6-$L$6)</f>
        <v>0</v>
      </c>
      <c r="M10" s="42">
        <f>MAX(L10:L11)</f>
        <v>0</v>
      </c>
      <c r="N10" s="38"/>
    </row>
    <row r="11" spans="1:15" s="6" customFormat="1" x14ac:dyDescent="0.15">
      <c r="A11" s="23">
        <v>0</v>
      </c>
      <c r="B11" s="23">
        <v>0</v>
      </c>
      <c r="C11" s="24">
        <v>0</v>
      </c>
      <c r="D11" s="25">
        <f t="shared" ref="D11" si="1">IF(ABS(B11-A11)&gt;ABS(C11-A11),B11-A11,C11-A11)</f>
        <v>0</v>
      </c>
      <c r="E11" s="60">
        <f t="shared" ref="E11" si="2">ABS(B11-C11)</f>
        <v>0</v>
      </c>
      <c r="F11" s="60"/>
      <c r="G11" s="10">
        <v>1.2999999999999999E-2</v>
      </c>
      <c r="I11" s="26">
        <f t="shared" si="0"/>
        <v>0</v>
      </c>
      <c r="J11" s="14">
        <f t="shared" ref="J11" si="3">ABS(D11)/($N$6-$L$6)</f>
        <v>0</v>
      </c>
      <c r="K11" s="43"/>
      <c r="L11" s="14">
        <f t="shared" ref="L11" si="4">ABS(E11)/($N$6-$L$6)</f>
        <v>0</v>
      </c>
      <c r="M11" s="43"/>
      <c r="N11" s="38"/>
    </row>
    <row r="12" spans="1:15" s="6" customFormat="1" x14ac:dyDescent="0.15">
      <c r="A12" s="28"/>
      <c r="B12" s="28"/>
      <c r="C12" s="29"/>
      <c r="D12" s="30"/>
      <c r="E12" s="30"/>
      <c r="F12" s="30"/>
      <c r="G12" s="31"/>
      <c r="I12" s="32"/>
      <c r="J12" s="32"/>
      <c r="K12" s="32"/>
      <c r="L12" s="32"/>
      <c r="M12" s="33"/>
      <c r="N12" s="34"/>
    </row>
    <row r="13" spans="1:15" x14ac:dyDescent="0.15">
      <c r="A13" s="11" t="s">
        <v>7</v>
      </c>
      <c r="B13" s="5" t="s">
        <v>8</v>
      </c>
      <c r="C13" s="11"/>
      <c r="D13" s="12" t="s">
        <v>25</v>
      </c>
      <c r="E13" s="61" t="str">
        <f>$N$5</f>
        <v>psi</v>
      </c>
      <c r="F13" s="61"/>
      <c r="G13" s="4"/>
      <c r="I13" s="18" t="s">
        <v>7</v>
      </c>
      <c r="J13" s="13" t="str">
        <f>B13</f>
        <v>CH2</v>
      </c>
      <c r="K13" s="6"/>
      <c r="L13" s="12"/>
      <c r="M13" s="5"/>
      <c r="N13" s="13"/>
    </row>
    <row r="14" spans="1:15" ht="15" customHeight="1" x14ac:dyDescent="0.15">
      <c r="A14" s="51" t="s">
        <v>51</v>
      </c>
      <c r="B14" s="51" t="s">
        <v>29</v>
      </c>
      <c r="C14" s="53"/>
      <c r="D14" s="54" t="s">
        <v>27</v>
      </c>
      <c r="E14" s="56" t="s">
        <v>26</v>
      </c>
      <c r="F14" s="57"/>
      <c r="G14" s="49" t="s">
        <v>3</v>
      </c>
      <c r="I14" s="36" t="s">
        <v>28</v>
      </c>
      <c r="J14" s="44" t="s">
        <v>33</v>
      </c>
      <c r="K14" s="46" t="s">
        <v>30</v>
      </c>
      <c r="L14" s="41" t="s">
        <v>34</v>
      </c>
      <c r="M14" s="38" t="s">
        <v>30</v>
      </c>
      <c r="N14" s="37" t="s">
        <v>35</v>
      </c>
    </row>
    <row r="15" spans="1:15" x14ac:dyDescent="0.15">
      <c r="A15" s="52"/>
      <c r="B15" s="8" t="s">
        <v>4</v>
      </c>
      <c r="C15" s="9" t="s">
        <v>5</v>
      </c>
      <c r="D15" s="55"/>
      <c r="E15" s="58"/>
      <c r="F15" s="59"/>
      <c r="G15" s="50"/>
      <c r="I15" s="35" t="str">
        <f>"（"&amp;$N$5&amp;"）"</f>
        <v>（psi）</v>
      </c>
      <c r="J15" s="45"/>
      <c r="K15" s="46"/>
      <c r="L15" s="41"/>
      <c r="M15" s="38"/>
      <c r="N15" s="38"/>
    </row>
    <row r="16" spans="1:15" x14ac:dyDescent="0.15">
      <c r="A16" s="23">
        <v>0</v>
      </c>
      <c r="B16" s="23">
        <v>0</v>
      </c>
      <c r="C16" s="24">
        <v>0</v>
      </c>
      <c r="D16" s="25">
        <f>IF(ABS(B16-A16)&gt;ABS(C16-A16),B16-A16,C16-A16)</f>
        <v>0</v>
      </c>
      <c r="E16" s="60">
        <f>ABS(B16-C16)</f>
        <v>0</v>
      </c>
      <c r="F16" s="60"/>
      <c r="G16" s="10">
        <v>1.2999999999999999E-2</v>
      </c>
      <c r="I16" s="26">
        <f t="shared" ref="I16:I17" si="5">A16</f>
        <v>0</v>
      </c>
      <c r="J16" s="14">
        <f>ABS(D16)/($N$6-$L$6)</f>
        <v>0</v>
      </c>
      <c r="K16" s="42">
        <f>MAX(J16:J17)</f>
        <v>0</v>
      </c>
      <c r="L16" s="14">
        <f>ABS(E16)/($N$6-$L$6)</f>
        <v>0</v>
      </c>
      <c r="M16" s="42">
        <f>MAX(L16:L17)</f>
        <v>0</v>
      </c>
      <c r="N16" s="38"/>
    </row>
    <row r="17" spans="1:14" x14ac:dyDescent="0.15">
      <c r="A17" s="23">
        <v>0</v>
      </c>
      <c r="B17" s="23">
        <v>0</v>
      </c>
      <c r="C17" s="24">
        <v>0</v>
      </c>
      <c r="D17" s="25">
        <f t="shared" ref="D17" si="6">IF(ABS(B17-A17)&gt;ABS(C17-A17),B17-A17,C17-A17)</f>
        <v>0</v>
      </c>
      <c r="E17" s="60">
        <f t="shared" ref="E17" si="7">ABS(B17-C17)</f>
        <v>0</v>
      </c>
      <c r="F17" s="60"/>
      <c r="G17" s="10">
        <v>1.2999999999999999E-2</v>
      </c>
      <c r="I17" s="26">
        <f t="shared" si="5"/>
        <v>0</v>
      </c>
      <c r="J17" s="14">
        <f t="shared" ref="J17" si="8">ABS(D17)/($N$6-$L$6)</f>
        <v>0</v>
      </c>
      <c r="K17" s="43"/>
      <c r="L17" s="14">
        <f t="shared" ref="L17" si="9">ABS(E17)/($N$6-$L$6)</f>
        <v>0</v>
      </c>
      <c r="M17" s="43"/>
      <c r="N17" s="38"/>
    </row>
    <row r="18" spans="1:14" x14ac:dyDescent="0.15">
      <c r="A18" s="28"/>
      <c r="B18" s="28"/>
      <c r="C18" s="29"/>
      <c r="D18" s="30"/>
      <c r="E18" s="30"/>
      <c r="F18" s="30"/>
      <c r="G18" s="31"/>
      <c r="I18" s="32"/>
      <c r="J18" s="32"/>
      <c r="K18" s="32"/>
      <c r="L18" s="32"/>
      <c r="M18" s="32"/>
      <c r="N18" s="34"/>
    </row>
    <row r="19" spans="1:14" x14ac:dyDescent="0.15">
      <c r="A19" s="11" t="s">
        <v>7</v>
      </c>
      <c r="B19" s="5" t="s">
        <v>9</v>
      </c>
      <c r="C19" s="11"/>
      <c r="D19" s="12" t="s">
        <v>25</v>
      </c>
      <c r="E19" s="61" t="str">
        <f>$N$5</f>
        <v>psi</v>
      </c>
      <c r="F19" s="61"/>
      <c r="G19" s="4"/>
      <c r="I19" s="18" t="s">
        <v>7</v>
      </c>
      <c r="J19" s="13" t="str">
        <f>B19</f>
        <v>CH3</v>
      </c>
      <c r="K19" s="6"/>
      <c r="L19" s="12"/>
      <c r="M19" s="5"/>
      <c r="N19" s="13"/>
    </row>
    <row r="20" spans="1:14" ht="15" customHeight="1" x14ac:dyDescent="0.15">
      <c r="A20" s="65" t="s">
        <v>28</v>
      </c>
      <c r="B20" s="66" t="s">
        <v>29</v>
      </c>
      <c r="C20" s="67"/>
      <c r="D20" s="68" t="s">
        <v>27</v>
      </c>
      <c r="E20" s="56" t="s">
        <v>26</v>
      </c>
      <c r="F20" s="69"/>
      <c r="G20" s="73" t="s">
        <v>3</v>
      </c>
      <c r="I20" s="36" t="s">
        <v>28</v>
      </c>
      <c r="J20" s="44" t="s">
        <v>33</v>
      </c>
      <c r="K20" s="46" t="s">
        <v>30</v>
      </c>
      <c r="L20" s="41" t="s">
        <v>34</v>
      </c>
      <c r="M20" s="38" t="s">
        <v>30</v>
      </c>
      <c r="N20" s="37" t="s">
        <v>35</v>
      </c>
    </row>
    <row r="21" spans="1:14" x14ac:dyDescent="0.15">
      <c r="A21" s="51"/>
      <c r="B21" s="8" t="s">
        <v>4</v>
      </c>
      <c r="C21" s="9" t="s">
        <v>5</v>
      </c>
      <c r="D21" s="54"/>
      <c r="E21" s="70"/>
      <c r="F21" s="71"/>
      <c r="G21" s="49"/>
      <c r="I21" s="35" t="str">
        <f>"（"&amp;$N$5&amp;"）"</f>
        <v>（psi）</v>
      </c>
      <c r="J21" s="45"/>
      <c r="K21" s="46"/>
      <c r="L21" s="41"/>
      <c r="M21" s="38"/>
      <c r="N21" s="38"/>
    </row>
    <row r="22" spans="1:14" x14ac:dyDescent="0.15">
      <c r="A22" s="23">
        <v>0</v>
      </c>
      <c r="B22" s="23">
        <v>0</v>
      </c>
      <c r="C22" s="24">
        <v>0</v>
      </c>
      <c r="D22" s="25">
        <f>IF(ABS(B22-A22)&gt;ABS(C22-A22),B22-A22,C22-A22)</f>
        <v>0</v>
      </c>
      <c r="E22" s="60">
        <f>ABS(B22-C22)</f>
        <v>0</v>
      </c>
      <c r="F22" s="60"/>
      <c r="G22" s="10">
        <v>1.2999999999999999E-2</v>
      </c>
      <c r="I22" s="26">
        <f t="shared" ref="I22:I23" si="10">A22</f>
        <v>0</v>
      </c>
      <c r="J22" s="14">
        <f>ABS(D22)/($N$6-$L$6)</f>
        <v>0</v>
      </c>
      <c r="K22" s="42">
        <f>MAX(J22:J23)</f>
        <v>0</v>
      </c>
      <c r="L22" s="14">
        <f>ABS(E22)/($N$6-$L$6)</f>
        <v>0</v>
      </c>
      <c r="M22" s="42">
        <f>MAX(L22:L23)</f>
        <v>0</v>
      </c>
      <c r="N22" s="38"/>
    </row>
    <row r="23" spans="1:14" x14ac:dyDescent="0.15">
      <c r="A23" s="23">
        <v>0</v>
      </c>
      <c r="B23" s="23">
        <v>0</v>
      </c>
      <c r="C23" s="24">
        <v>0</v>
      </c>
      <c r="D23" s="25">
        <f t="shared" ref="D23" si="11">IF(ABS(B23-A23)&gt;ABS(C23-A23),B23-A23,C23-A23)</f>
        <v>0</v>
      </c>
      <c r="E23" s="60">
        <f t="shared" ref="E23" si="12">ABS(B23-C23)</f>
        <v>0</v>
      </c>
      <c r="F23" s="60"/>
      <c r="G23" s="10">
        <v>1.2999999999999999E-2</v>
      </c>
      <c r="I23" s="26">
        <f t="shared" si="10"/>
        <v>0</v>
      </c>
      <c r="J23" s="14">
        <f t="shared" ref="J23" si="13">ABS(D23)/($N$6-$L$6)</f>
        <v>0</v>
      </c>
      <c r="K23" s="43"/>
      <c r="L23" s="14">
        <f t="shared" ref="L23" si="14">ABS(E23)/($N$6-$L$6)</f>
        <v>0</v>
      </c>
      <c r="M23" s="43"/>
      <c r="N23" s="38"/>
    </row>
    <row r="24" spans="1:14" x14ac:dyDescent="0.15">
      <c r="A24" s="28"/>
      <c r="B24" s="28"/>
      <c r="C24" s="29"/>
      <c r="D24" s="30"/>
      <c r="E24" s="30"/>
      <c r="F24" s="30"/>
      <c r="G24" s="31"/>
      <c r="I24" s="32"/>
      <c r="J24" s="32"/>
      <c r="K24" s="32"/>
      <c r="L24" s="32"/>
      <c r="M24" s="33"/>
      <c r="N24" s="34"/>
    </row>
    <row r="25" spans="1:14" x14ac:dyDescent="0.15">
      <c r="A25" s="11" t="s">
        <v>7</v>
      </c>
      <c r="B25" s="5" t="s">
        <v>10</v>
      </c>
      <c r="C25" s="11"/>
      <c r="D25" s="12" t="s">
        <v>25</v>
      </c>
      <c r="E25" s="61" t="str">
        <f>$N$5</f>
        <v>psi</v>
      </c>
      <c r="F25" s="61"/>
      <c r="G25" s="4"/>
      <c r="I25" s="18" t="s">
        <v>7</v>
      </c>
      <c r="J25" s="13" t="str">
        <f>B25</f>
        <v>CH4</v>
      </c>
      <c r="K25" s="6"/>
      <c r="L25" s="12"/>
      <c r="M25" s="5"/>
      <c r="N25" s="13"/>
    </row>
    <row r="26" spans="1:14" ht="15" customHeight="1" x14ac:dyDescent="0.15">
      <c r="A26" s="51" t="s">
        <v>28</v>
      </c>
      <c r="B26" s="51" t="s">
        <v>29</v>
      </c>
      <c r="C26" s="53"/>
      <c r="D26" s="54" t="s">
        <v>27</v>
      </c>
      <c r="E26" s="56" t="s">
        <v>26</v>
      </c>
      <c r="F26" s="57"/>
      <c r="G26" s="49" t="s">
        <v>3</v>
      </c>
      <c r="I26" s="36" t="s">
        <v>28</v>
      </c>
      <c r="J26" s="44" t="s">
        <v>33</v>
      </c>
      <c r="K26" s="46" t="s">
        <v>30</v>
      </c>
      <c r="L26" s="41" t="s">
        <v>34</v>
      </c>
      <c r="M26" s="38" t="s">
        <v>30</v>
      </c>
      <c r="N26" s="37" t="s">
        <v>35</v>
      </c>
    </row>
    <row r="27" spans="1:14" x14ac:dyDescent="0.15">
      <c r="A27" s="52"/>
      <c r="B27" s="8" t="s">
        <v>4</v>
      </c>
      <c r="C27" s="9" t="s">
        <v>5</v>
      </c>
      <c r="D27" s="55"/>
      <c r="E27" s="58"/>
      <c r="F27" s="59"/>
      <c r="G27" s="50"/>
      <c r="I27" s="35" t="str">
        <f>"（"&amp;$N$5&amp;"）"</f>
        <v>（psi）</v>
      </c>
      <c r="J27" s="45"/>
      <c r="K27" s="46"/>
      <c r="L27" s="41"/>
      <c r="M27" s="38"/>
      <c r="N27" s="38"/>
    </row>
    <row r="28" spans="1:14" x14ac:dyDescent="0.15">
      <c r="A28" s="23">
        <v>0</v>
      </c>
      <c r="B28" s="23">
        <v>0</v>
      </c>
      <c r="C28" s="24">
        <v>0</v>
      </c>
      <c r="D28" s="25">
        <f>IF(ABS(B28-A28)&gt;ABS(C28-A28),B28-A28,C28-A28)</f>
        <v>0</v>
      </c>
      <c r="E28" s="74">
        <f>ABS(B28-C28)</f>
        <v>0</v>
      </c>
      <c r="F28" s="75"/>
      <c r="G28" s="10">
        <v>1.2999999999999999E-2</v>
      </c>
      <c r="I28" s="26">
        <f t="shared" ref="I28:I29" si="15">A28</f>
        <v>0</v>
      </c>
      <c r="J28" s="14">
        <f>ABS(D28)/($N$6-$L$6)</f>
        <v>0</v>
      </c>
      <c r="K28" s="42">
        <f>MAX(J28:J29)</f>
        <v>0</v>
      </c>
      <c r="L28" s="14">
        <f>ABS(E28)/($N$6-$L$6)</f>
        <v>0</v>
      </c>
      <c r="M28" s="42">
        <f>MAX(L28:L29)</f>
        <v>0</v>
      </c>
      <c r="N28" s="38"/>
    </row>
    <row r="29" spans="1:14" x14ac:dyDescent="0.15">
      <c r="A29" s="23">
        <v>0</v>
      </c>
      <c r="B29" s="23">
        <v>0</v>
      </c>
      <c r="C29" s="24">
        <v>0</v>
      </c>
      <c r="D29" s="25">
        <f t="shared" ref="D29" si="16">IF(ABS(B29-A29)&gt;ABS(C29-A29),B29-A29,C29-A29)</f>
        <v>0</v>
      </c>
      <c r="E29" s="74">
        <f t="shared" ref="E29" si="17">ABS(B29-C29)</f>
        <v>0</v>
      </c>
      <c r="F29" s="75"/>
      <c r="G29" s="10">
        <v>1.2999999999999999E-2</v>
      </c>
      <c r="I29" s="26">
        <f t="shared" si="15"/>
        <v>0</v>
      </c>
      <c r="J29" s="14">
        <f t="shared" ref="J29" si="18">ABS(D29)/($N$6-$L$6)</f>
        <v>0</v>
      </c>
      <c r="K29" s="43"/>
      <c r="L29" s="14">
        <f t="shared" ref="L29" si="19">ABS(E29)/($N$6-$L$6)</f>
        <v>0</v>
      </c>
      <c r="M29" s="43"/>
      <c r="N29" s="38"/>
    </row>
    <row r="30" spans="1:14" x14ac:dyDescent="0.15">
      <c r="A30" s="28"/>
      <c r="B30" s="28"/>
      <c r="C30" s="29"/>
      <c r="D30" s="30"/>
      <c r="E30" s="30"/>
      <c r="F30" s="30"/>
      <c r="G30" s="31"/>
      <c r="I30" s="32"/>
      <c r="J30" s="32"/>
      <c r="K30" s="32"/>
      <c r="L30" s="32"/>
      <c r="M30" s="32"/>
      <c r="N30" s="34"/>
    </row>
    <row r="31" spans="1:14" x14ac:dyDescent="0.15">
      <c r="A31" s="11" t="s">
        <v>7</v>
      </c>
      <c r="B31" s="5" t="s">
        <v>11</v>
      </c>
      <c r="C31" s="11"/>
      <c r="D31" s="12" t="s">
        <v>25</v>
      </c>
      <c r="E31" s="61" t="str">
        <f>$N$5</f>
        <v>psi</v>
      </c>
      <c r="F31" s="61"/>
      <c r="G31" s="4"/>
      <c r="I31" s="18" t="s">
        <v>7</v>
      </c>
      <c r="J31" s="13" t="str">
        <f>B31</f>
        <v>CH5</v>
      </c>
      <c r="K31" s="6"/>
      <c r="L31" s="12"/>
      <c r="M31" s="5"/>
      <c r="N31" s="13"/>
    </row>
    <row r="32" spans="1:14" ht="15" customHeight="1" x14ac:dyDescent="0.15">
      <c r="A32" s="51" t="s">
        <v>28</v>
      </c>
      <c r="B32" s="51" t="s">
        <v>29</v>
      </c>
      <c r="C32" s="53"/>
      <c r="D32" s="54" t="s">
        <v>27</v>
      </c>
      <c r="E32" s="56" t="s">
        <v>26</v>
      </c>
      <c r="F32" s="57"/>
      <c r="G32" s="49" t="s">
        <v>3</v>
      </c>
      <c r="I32" s="36" t="s">
        <v>28</v>
      </c>
      <c r="J32" s="44" t="s">
        <v>33</v>
      </c>
      <c r="K32" s="46" t="s">
        <v>30</v>
      </c>
      <c r="L32" s="41" t="s">
        <v>34</v>
      </c>
      <c r="M32" s="38" t="s">
        <v>30</v>
      </c>
      <c r="N32" s="37" t="s">
        <v>35</v>
      </c>
    </row>
    <row r="33" spans="1:14" x14ac:dyDescent="0.15">
      <c r="A33" s="52"/>
      <c r="B33" s="8" t="s">
        <v>4</v>
      </c>
      <c r="C33" s="9" t="s">
        <v>5</v>
      </c>
      <c r="D33" s="55"/>
      <c r="E33" s="58"/>
      <c r="F33" s="59"/>
      <c r="G33" s="50"/>
      <c r="I33" s="35" t="str">
        <f>"（"&amp;$N$5&amp;"）"</f>
        <v>（psi）</v>
      </c>
      <c r="J33" s="45"/>
      <c r="K33" s="46"/>
      <c r="L33" s="41"/>
      <c r="M33" s="38"/>
      <c r="N33" s="38"/>
    </row>
    <row r="34" spans="1:14" x14ac:dyDescent="0.15">
      <c r="A34" s="23">
        <v>0</v>
      </c>
      <c r="B34" s="23">
        <v>0</v>
      </c>
      <c r="C34" s="24">
        <v>0</v>
      </c>
      <c r="D34" s="25">
        <f>IF(ABS(B34-A34)&gt;ABS(C34-A34),B34-A34,C34-A34)</f>
        <v>0</v>
      </c>
      <c r="E34" s="60">
        <f>ABS(B34-C34)</f>
        <v>0</v>
      </c>
      <c r="F34" s="60"/>
      <c r="G34" s="10">
        <v>1.2999999999999999E-2</v>
      </c>
      <c r="I34" s="26">
        <f t="shared" ref="I34:I35" si="20">A34</f>
        <v>0</v>
      </c>
      <c r="J34" s="14">
        <f>ABS(D34)/($N$6-$L$6)</f>
        <v>0</v>
      </c>
      <c r="K34" s="42">
        <f>MAX(J34:J35)</f>
        <v>0</v>
      </c>
      <c r="L34" s="14">
        <f>ABS(E34)/($N$6-$L$6)</f>
        <v>0</v>
      </c>
      <c r="M34" s="42">
        <f>MAX(L34:L35)</f>
        <v>0</v>
      </c>
      <c r="N34" s="38"/>
    </row>
    <row r="35" spans="1:14" x14ac:dyDescent="0.15">
      <c r="A35" s="23">
        <v>0</v>
      </c>
      <c r="B35" s="23">
        <v>0</v>
      </c>
      <c r="C35" s="24">
        <v>0</v>
      </c>
      <c r="D35" s="25">
        <f t="shared" ref="D35" si="21">IF(ABS(B35-A35)&gt;ABS(C35-A35),B35-A35,C35-A35)</f>
        <v>0</v>
      </c>
      <c r="E35" s="60">
        <f t="shared" ref="E35" si="22">ABS(B35-C35)</f>
        <v>0</v>
      </c>
      <c r="F35" s="60"/>
      <c r="G35" s="10">
        <v>1.2999999999999999E-2</v>
      </c>
      <c r="I35" s="26">
        <f t="shared" si="20"/>
        <v>0</v>
      </c>
      <c r="J35" s="14">
        <f t="shared" ref="J35" si="23">ABS(D35)/($N$6-$L$6)</f>
        <v>0</v>
      </c>
      <c r="K35" s="43"/>
      <c r="L35" s="14">
        <f t="shared" ref="L35" si="24">ABS(E35)/($N$6-$L$6)</f>
        <v>0</v>
      </c>
      <c r="M35" s="43"/>
      <c r="N35" s="38"/>
    </row>
    <row r="36" spans="1:14" x14ac:dyDescent="0.15">
      <c r="A36" s="28"/>
      <c r="B36" s="28"/>
      <c r="C36" s="29"/>
      <c r="D36" s="30"/>
      <c r="E36" s="30"/>
      <c r="F36" s="30"/>
      <c r="G36" s="31"/>
      <c r="I36" s="32"/>
      <c r="J36" s="33"/>
      <c r="K36" s="33"/>
      <c r="L36" s="33"/>
      <c r="M36" s="33"/>
      <c r="N36" s="34"/>
    </row>
    <row r="37" spans="1:14" x14ac:dyDescent="0.15">
      <c r="A37" s="11" t="s">
        <v>7</v>
      </c>
      <c r="B37" s="5" t="s">
        <v>12</v>
      </c>
      <c r="C37" s="11"/>
      <c r="D37" s="12" t="s">
        <v>25</v>
      </c>
      <c r="E37" s="61" t="str">
        <f>$N$5</f>
        <v>psi</v>
      </c>
      <c r="F37" s="61"/>
      <c r="G37" s="4"/>
      <c r="I37" s="18" t="s">
        <v>7</v>
      </c>
      <c r="J37" s="13" t="str">
        <f>B37</f>
        <v>CH6</v>
      </c>
      <c r="K37" s="6"/>
      <c r="L37" s="12"/>
      <c r="M37" s="5"/>
      <c r="N37" s="13"/>
    </row>
    <row r="38" spans="1:14" ht="15" customHeight="1" x14ac:dyDescent="0.15">
      <c r="A38" s="51" t="s">
        <v>28</v>
      </c>
      <c r="B38" s="51" t="s">
        <v>29</v>
      </c>
      <c r="C38" s="53"/>
      <c r="D38" s="54" t="s">
        <v>27</v>
      </c>
      <c r="E38" s="56" t="s">
        <v>26</v>
      </c>
      <c r="F38" s="57"/>
      <c r="G38" s="49" t="s">
        <v>3</v>
      </c>
      <c r="I38" s="36" t="s">
        <v>28</v>
      </c>
      <c r="J38" s="44" t="s">
        <v>33</v>
      </c>
      <c r="K38" s="46" t="s">
        <v>30</v>
      </c>
      <c r="L38" s="41" t="s">
        <v>34</v>
      </c>
      <c r="M38" s="38" t="s">
        <v>30</v>
      </c>
      <c r="N38" s="37" t="s">
        <v>35</v>
      </c>
    </row>
    <row r="39" spans="1:14" x14ac:dyDescent="0.15">
      <c r="A39" s="52"/>
      <c r="B39" s="8" t="s">
        <v>4</v>
      </c>
      <c r="C39" s="9" t="s">
        <v>5</v>
      </c>
      <c r="D39" s="55"/>
      <c r="E39" s="58"/>
      <c r="F39" s="59"/>
      <c r="G39" s="50"/>
      <c r="I39" s="35" t="str">
        <f>"（"&amp;$N$5&amp;"）"</f>
        <v>（psi）</v>
      </c>
      <c r="J39" s="45"/>
      <c r="K39" s="46"/>
      <c r="L39" s="41"/>
      <c r="M39" s="38"/>
      <c r="N39" s="38"/>
    </row>
    <row r="40" spans="1:14" x14ac:dyDescent="0.15">
      <c r="A40" s="23">
        <v>0</v>
      </c>
      <c r="B40" s="23">
        <v>0</v>
      </c>
      <c r="C40" s="24">
        <v>0</v>
      </c>
      <c r="D40" s="25">
        <f>IF(ABS(B40-A40)&gt;ABS(C40-A40),B40-A40,C40-A40)</f>
        <v>0</v>
      </c>
      <c r="E40" s="60">
        <f>ABS(B40-C40)</f>
        <v>0</v>
      </c>
      <c r="F40" s="60"/>
      <c r="G40" s="10">
        <v>1.2999999999999999E-2</v>
      </c>
      <c r="I40" s="26">
        <f t="shared" ref="I40:I41" si="25">A40</f>
        <v>0</v>
      </c>
      <c r="J40" s="14">
        <f>ABS(D40)/($N$6-$L$6)</f>
        <v>0</v>
      </c>
      <c r="K40" s="42">
        <f>MAX(J40:J41)</f>
        <v>0</v>
      </c>
      <c r="L40" s="14">
        <f>ABS(E40)/($N$6-$L$6)</f>
        <v>0</v>
      </c>
      <c r="M40" s="42">
        <f>MAX(L40:L41)</f>
        <v>0</v>
      </c>
      <c r="N40" s="38"/>
    </row>
    <row r="41" spans="1:14" x14ac:dyDescent="0.15">
      <c r="A41" s="23">
        <v>0</v>
      </c>
      <c r="B41" s="23">
        <v>0</v>
      </c>
      <c r="C41" s="24">
        <v>0</v>
      </c>
      <c r="D41" s="25">
        <f t="shared" ref="D41" si="26">IF(ABS(B41-A41)&gt;ABS(C41-A41),B41-A41,C41-A41)</f>
        <v>0</v>
      </c>
      <c r="E41" s="60">
        <f t="shared" ref="E41" si="27">ABS(B41-C41)</f>
        <v>0</v>
      </c>
      <c r="F41" s="60"/>
      <c r="G41" s="10">
        <v>1.2999999999999999E-2</v>
      </c>
      <c r="I41" s="26">
        <f t="shared" si="25"/>
        <v>0</v>
      </c>
      <c r="J41" s="14">
        <f t="shared" ref="J41" si="28">ABS(D41)/($N$6-$L$6)</f>
        <v>0</v>
      </c>
      <c r="K41" s="43"/>
      <c r="L41" s="14">
        <f t="shared" ref="L41" si="29">ABS(E41)/($N$6-$L$6)</f>
        <v>0</v>
      </c>
      <c r="M41" s="43"/>
      <c r="N41" s="38"/>
    </row>
    <row r="42" spans="1:14" x14ac:dyDescent="0.15">
      <c r="A42" s="28"/>
      <c r="B42" s="28"/>
      <c r="C42" s="29"/>
      <c r="D42" s="30"/>
      <c r="E42" s="30"/>
      <c r="F42" s="30"/>
      <c r="G42" s="31"/>
      <c r="I42" s="32"/>
      <c r="J42" s="32"/>
      <c r="K42" s="32"/>
      <c r="L42" s="32"/>
      <c r="M42" s="32"/>
      <c r="N42" s="34"/>
    </row>
    <row r="43" spans="1:14" x14ac:dyDescent="0.15">
      <c r="A43" s="11" t="s">
        <v>7</v>
      </c>
      <c r="B43" s="5" t="s">
        <v>13</v>
      </c>
      <c r="C43" s="11"/>
      <c r="D43" s="12" t="s">
        <v>25</v>
      </c>
      <c r="E43" s="61" t="str">
        <f>$N$5</f>
        <v>psi</v>
      </c>
      <c r="F43" s="61"/>
      <c r="G43" s="4"/>
      <c r="I43" s="18" t="s">
        <v>7</v>
      </c>
      <c r="J43" s="13" t="str">
        <f>B43</f>
        <v>CH7</v>
      </c>
      <c r="K43" s="6"/>
      <c r="L43" s="12"/>
      <c r="M43" s="5"/>
      <c r="N43" s="13"/>
    </row>
    <row r="44" spans="1:14" ht="15" customHeight="1" x14ac:dyDescent="0.15">
      <c r="A44" s="51" t="s">
        <v>28</v>
      </c>
      <c r="B44" s="51" t="s">
        <v>29</v>
      </c>
      <c r="C44" s="53"/>
      <c r="D44" s="54" t="s">
        <v>27</v>
      </c>
      <c r="E44" s="56" t="s">
        <v>26</v>
      </c>
      <c r="F44" s="57"/>
      <c r="G44" s="49" t="s">
        <v>3</v>
      </c>
      <c r="I44" s="36" t="s">
        <v>28</v>
      </c>
      <c r="J44" s="44" t="s">
        <v>33</v>
      </c>
      <c r="K44" s="46" t="s">
        <v>30</v>
      </c>
      <c r="L44" s="41" t="s">
        <v>34</v>
      </c>
      <c r="M44" s="38" t="s">
        <v>30</v>
      </c>
      <c r="N44" s="37" t="s">
        <v>35</v>
      </c>
    </row>
    <row r="45" spans="1:14" x14ac:dyDescent="0.15">
      <c r="A45" s="52"/>
      <c r="B45" s="8" t="s">
        <v>4</v>
      </c>
      <c r="C45" s="9" t="s">
        <v>5</v>
      </c>
      <c r="D45" s="55"/>
      <c r="E45" s="58"/>
      <c r="F45" s="59"/>
      <c r="G45" s="50"/>
      <c r="I45" s="35" t="str">
        <f>"（"&amp;$N$5&amp;"）"</f>
        <v>（psi）</v>
      </c>
      <c r="J45" s="45"/>
      <c r="K45" s="46"/>
      <c r="L45" s="41"/>
      <c r="M45" s="38"/>
      <c r="N45" s="38"/>
    </row>
    <row r="46" spans="1:14" x14ac:dyDescent="0.15">
      <c r="A46" s="23">
        <v>0</v>
      </c>
      <c r="B46" s="23">
        <v>0</v>
      </c>
      <c r="C46" s="24">
        <v>0</v>
      </c>
      <c r="D46" s="25">
        <f>IF(ABS(B46-A46)&gt;ABS(C46-A46),B46-A46,C46-A46)</f>
        <v>0</v>
      </c>
      <c r="E46" s="60">
        <f>ABS(B46-C46)</f>
        <v>0</v>
      </c>
      <c r="F46" s="60"/>
      <c r="G46" s="10">
        <v>1.2999999999999999E-2</v>
      </c>
      <c r="I46" s="26">
        <f t="shared" ref="I46:I47" si="30">A46</f>
        <v>0</v>
      </c>
      <c r="J46" s="14">
        <f>ABS(D46)/($N$6-$L$6)</f>
        <v>0</v>
      </c>
      <c r="K46" s="42">
        <f>MAX(J46:J47)</f>
        <v>0</v>
      </c>
      <c r="L46" s="14">
        <f>ABS(E46)/($N$6-$L$6)</f>
        <v>0</v>
      </c>
      <c r="M46" s="42">
        <f>MAX(L46:L47)</f>
        <v>0</v>
      </c>
      <c r="N46" s="38"/>
    </row>
    <row r="47" spans="1:14" x14ac:dyDescent="0.15">
      <c r="A47" s="23">
        <v>0</v>
      </c>
      <c r="B47" s="23">
        <v>0</v>
      </c>
      <c r="C47" s="24">
        <v>0</v>
      </c>
      <c r="D47" s="25">
        <f t="shared" ref="D47" si="31">IF(ABS(B47-A47)&gt;ABS(C47-A47),B47-A47,C47-A47)</f>
        <v>0</v>
      </c>
      <c r="E47" s="60">
        <f t="shared" ref="E47" si="32">ABS(B47-C47)</f>
        <v>0</v>
      </c>
      <c r="F47" s="60"/>
      <c r="G47" s="10">
        <v>1.2999999999999999E-2</v>
      </c>
      <c r="I47" s="26">
        <f t="shared" si="30"/>
        <v>0</v>
      </c>
      <c r="J47" s="14">
        <f t="shared" ref="J47" si="33">ABS(D47)/($N$6-$L$6)</f>
        <v>0</v>
      </c>
      <c r="K47" s="43"/>
      <c r="L47" s="14">
        <f t="shared" ref="L47" si="34">ABS(E47)/($N$6-$L$6)</f>
        <v>0</v>
      </c>
      <c r="M47" s="43"/>
      <c r="N47" s="38"/>
    </row>
    <row r="48" spans="1:14" x14ac:dyDescent="0.15">
      <c r="A48" s="28"/>
      <c r="B48" s="28"/>
      <c r="C48" s="29"/>
      <c r="D48" s="30"/>
      <c r="E48" s="30"/>
      <c r="F48" s="30"/>
      <c r="G48" s="31"/>
      <c r="I48" s="32"/>
      <c r="M48" s="33"/>
      <c r="N48" s="34"/>
    </row>
    <row r="49" spans="1:14" x14ac:dyDescent="0.15">
      <c r="A49" s="28"/>
      <c r="B49" s="28"/>
      <c r="C49" s="29"/>
      <c r="D49" s="30"/>
      <c r="E49" s="30"/>
      <c r="F49" s="30"/>
      <c r="G49" s="31"/>
      <c r="I49" s="32"/>
      <c r="M49" s="33"/>
      <c r="N49" s="34"/>
    </row>
    <row r="50" spans="1:14" x14ac:dyDescent="0.15">
      <c r="A50" s="28"/>
      <c r="B50" s="28"/>
      <c r="C50" s="29"/>
      <c r="D50" s="30"/>
      <c r="E50" s="30"/>
      <c r="F50" s="30"/>
      <c r="G50" s="31"/>
      <c r="I50" s="32"/>
      <c r="J50" s="32"/>
      <c r="K50" s="32"/>
      <c r="L50" s="32"/>
      <c r="M50" s="33"/>
      <c r="N50" s="34"/>
    </row>
    <row r="51" spans="1:14" x14ac:dyDescent="0.15">
      <c r="A51" s="11" t="s">
        <v>7</v>
      </c>
      <c r="B51" s="5" t="s">
        <v>14</v>
      </c>
      <c r="C51" s="11"/>
      <c r="D51" s="12" t="s">
        <v>25</v>
      </c>
      <c r="E51" s="61" t="str">
        <f>$N$5</f>
        <v>psi</v>
      </c>
      <c r="F51" s="61"/>
      <c r="G51" s="4"/>
      <c r="I51" s="18" t="s">
        <v>7</v>
      </c>
      <c r="J51" s="13" t="str">
        <f>B51</f>
        <v>CH8</v>
      </c>
      <c r="K51" s="6"/>
      <c r="L51" s="12"/>
      <c r="M51" s="5"/>
      <c r="N51" s="13"/>
    </row>
    <row r="52" spans="1:14" ht="15" customHeight="1" x14ac:dyDescent="0.15">
      <c r="A52" s="51" t="s">
        <v>28</v>
      </c>
      <c r="B52" s="51" t="s">
        <v>29</v>
      </c>
      <c r="C52" s="53"/>
      <c r="D52" s="54" t="s">
        <v>27</v>
      </c>
      <c r="E52" s="56" t="s">
        <v>26</v>
      </c>
      <c r="F52" s="57"/>
      <c r="G52" s="49" t="s">
        <v>3</v>
      </c>
      <c r="I52" s="36" t="s">
        <v>28</v>
      </c>
      <c r="J52" s="44" t="s">
        <v>33</v>
      </c>
      <c r="K52" s="46" t="s">
        <v>30</v>
      </c>
      <c r="L52" s="41" t="s">
        <v>34</v>
      </c>
      <c r="M52" s="38" t="s">
        <v>30</v>
      </c>
      <c r="N52" s="37" t="s">
        <v>35</v>
      </c>
    </row>
    <row r="53" spans="1:14" x14ac:dyDescent="0.15">
      <c r="A53" s="52"/>
      <c r="B53" s="8" t="s">
        <v>4</v>
      </c>
      <c r="C53" s="9" t="s">
        <v>5</v>
      </c>
      <c r="D53" s="55"/>
      <c r="E53" s="58"/>
      <c r="F53" s="59"/>
      <c r="G53" s="50"/>
      <c r="I53" s="35" t="str">
        <f>"（"&amp;$N$5&amp;"）"</f>
        <v>（psi）</v>
      </c>
      <c r="J53" s="45"/>
      <c r="K53" s="46"/>
      <c r="L53" s="41"/>
      <c r="M53" s="38"/>
      <c r="N53" s="38"/>
    </row>
    <row r="54" spans="1:14" x14ac:dyDescent="0.15">
      <c r="A54" s="23">
        <v>0</v>
      </c>
      <c r="B54" s="23">
        <v>0</v>
      </c>
      <c r="C54" s="24">
        <v>0</v>
      </c>
      <c r="D54" s="25">
        <f>IF(ABS(B54-A54)&gt;ABS(C54-A54),B54-A54,C54-A54)</f>
        <v>0</v>
      </c>
      <c r="E54" s="60">
        <f>ABS(B54-C54)</f>
        <v>0</v>
      </c>
      <c r="F54" s="60"/>
      <c r="G54" s="10">
        <v>1.2999999999999999E-2</v>
      </c>
      <c r="I54" s="26">
        <f t="shared" ref="I54:I55" si="35">A54</f>
        <v>0</v>
      </c>
      <c r="J54" s="14">
        <f>ABS(D54)/($N$6-$L$6)</f>
        <v>0</v>
      </c>
      <c r="K54" s="42">
        <f>MAX(J54:J55)</f>
        <v>0</v>
      </c>
      <c r="L54" s="14">
        <f>ABS(E54)/($N$6-$L$6)</f>
        <v>0</v>
      </c>
      <c r="M54" s="42">
        <f>MAX(L54:L55)</f>
        <v>0</v>
      </c>
      <c r="N54" s="38"/>
    </row>
    <row r="55" spans="1:14" x14ac:dyDescent="0.15">
      <c r="A55" s="23">
        <v>0</v>
      </c>
      <c r="B55" s="23">
        <v>0</v>
      </c>
      <c r="C55" s="24">
        <v>0</v>
      </c>
      <c r="D55" s="25">
        <f t="shared" ref="D55" si="36">IF(ABS(B55-A55)&gt;ABS(C55-A55),B55-A55,C55-A55)</f>
        <v>0</v>
      </c>
      <c r="E55" s="60">
        <f t="shared" ref="E55" si="37">ABS(B55-C55)</f>
        <v>0</v>
      </c>
      <c r="F55" s="60"/>
      <c r="G55" s="10">
        <v>1.2999999999999999E-2</v>
      </c>
      <c r="I55" s="26">
        <f t="shared" si="35"/>
        <v>0</v>
      </c>
      <c r="J55" s="14">
        <f t="shared" ref="J55" si="38">ABS(D55)/($N$6-$L$6)</f>
        <v>0</v>
      </c>
      <c r="K55" s="43"/>
      <c r="L55" s="14">
        <f t="shared" ref="L55" si="39">ABS(E55)/($N$6-$L$6)</f>
        <v>0</v>
      </c>
      <c r="M55" s="43"/>
      <c r="N55" s="38"/>
    </row>
    <row r="56" spans="1:14" x14ac:dyDescent="0.15">
      <c r="A56" s="28"/>
      <c r="B56" s="28"/>
      <c r="C56" s="29"/>
      <c r="D56" s="30"/>
      <c r="E56" s="30"/>
      <c r="F56" s="30"/>
      <c r="G56" s="31"/>
      <c r="I56" s="32"/>
      <c r="J56" s="32"/>
      <c r="K56" s="32"/>
      <c r="L56" s="32"/>
      <c r="M56" s="33"/>
      <c r="N56" s="34"/>
    </row>
    <row r="57" spans="1:14" x14ac:dyDescent="0.15">
      <c r="A57" s="11" t="s">
        <v>7</v>
      </c>
      <c r="B57" s="5" t="s">
        <v>15</v>
      </c>
      <c r="C57" s="11"/>
      <c r="D57" s="12" t="s">
        <v>25</v>
      </c>
      <c r="E57" s="61" t="str">
        <f>$N$5</f>
        <v>psi</v>
      </c>
      <c r="F57" s="61"/>
      <c r="G57" s="4"/>
      <c r="I57" s="18" t="s">
        <v>7</v>
      </c>
      <c r="J57" s="13" t="str">
        <f>B57</f>
        <v>CH9</v>
      </c>
      <c r="K57" s="6"/>
      <c r="L57" s="12"/>
      <c r="M57" s="5"/>
      <c r="N57" s="13"/>
    </row>
    <row r="58" spans="1:14" ht="15" customHeight="1" x14ac:dyDescent="0.15">
      <c r="A58" s="51" t="s">
        <v>28</v>
      </c>
      <c r="B58" s="51" t="s">
        <v>29</v>
      </c>
      <c r="C58" s="53"/>
      <c r="D58" s="54" t="s">
        <v>27</v>
      </c>
      <c r="E58" s="56" t="s">
        <v>26</v>
      </c>
      <c r="F58" s="57"/>
      <c r="G58" s="49" t="s">
        <v>3</v>
      </c>
      <c r="I58" s="36" t="s">
        <v>28</v>
      </c>
      <c r="J58" s="44" t="s">
        <v>33</v>
      </c>
      <c r="K58" s="46" t="s">
        <v>30</v>
      </c>
      <c r="L58" s="41" t="s">
        <v>34</v>
      </c>
      <c r="M58" s="38" t="s">
        <v>30</v>
      </c>
      <c r="N58" s="37" t="s">
        <v>35</v>
      </c>
    </row>
    <row r="59" spans="1:14" x14ac:dyDescent="0.15">
      <c r="A59" s="52"/>
      <c r="B59" s="8" t="s">
        <v>4</v>
      </c>
      <c r="C59" s="9" t="s">
        <v>5</v>
      </c>
      <c r="D59" s="55"/>
      <c r="E59" s="58"/>
      <c r="F59" s="59"/>
      <c r="G59" s="50"/>
      <c r="I59" s="35" t="str">
        <f>"（"&amp;$N$5&amp;"）"</f>
        <v>（psi）</v>
      </c>
      <c r="J59" s="45"/>
      <c r="K59" s="46"/>
      <c r="L59" s="41"/>
      <c r="M59" s="38"/>
      <c r="N59" s="38"/>
    </row>
    <row r="60" spans="1:14" x14ac:dyDescent="0.15">
      <c r="A60" s="23">
        <v>0</v>
      </c>
      <c r="B60" s="23">
        <v>0</v>
      </c>
      <c r="C60" s="24">
        <v>0</v>
      </c>
      <c r="D60" s="25">
        <f>IF(ABS(B60-A60)&gt;ABS(C60-A60),B60-A60,C60-A60)</f>
        <v>0</v>
      </c>
      <c r="E60" s="60">
        <f>ABS(B60-C60)</f>
        <v>0</v>
      </c>
      <c r="F60" s="60"/>
      <c r="G60" s="10">
        <v>1.2999999999999999E-2</v>
      </c>
      <c r="I60" s="26">
        <f t="shared" ref="I60:I61" si="40">A60</f>
        <v>0</v>
      </c>
      <c r="J60" s="14">
        <f>ABS(D60)/($N$6-$L$6)</f>
        <v>0</v>
      </c>
      <c r="K60" s="42">
        <f>MAX(J60:J61)</f>
        <v>0</v>
      </c>
      <c r="L60" s="14">
        <f>ABS(E60)/($N$6-$L$6)</f>
        <v>0</v>
      </c>
      <c r="M60" s="42">
        <f>MAX(L60:L61)</f>
        <v>0</v>
      </c>
      <c r="N60" s="38"/>
    </row>
    <row r="61" spans="1:14" x14ac:dyDescent="0.15">
      <c r="A61" s="23">
        <v>0</v>
      </c>
      <c r="B61" s="23">
        <v>0</v>
      </c>
      <c r="C61" s="24">
        <v>0</v>
      </c>
      <c r="D61" s="25">
        <f t="shared" ref="D61" si="41">IF(ABS(B61-A61)&gt;ABS(C61-A61),B61-A61,C61-A61)</f>
        <v>0</v>
      </c>
      <c r="E61" s="60">
        <f t="shared" ref="E61" si="42">ABS(B61-C61)</f>
        <v>0</v>
      </c>
      <c r="F61" s="60"/>
      <c r="G61" s="10">
        <v>1.2999999999999999E-2</v>
      </c>
      <c r="I61" s="26">
        <f t="shared" si="40"/>
        <v>0</v>
      </c>
      <c r="J61" s="14">
        <f t="shared" ref="J61" si="43">ABS(D61)/($N$6-$L$6)</f>
        <v>0</v>
      </c>
      <c r="K61" s="43"/>
      <c r="L61" s="14">
        <f t="shared" ref="L61" si="44">ABS(E61)/($N$6-$L$6)</f>
        <v>0</v>
      </c>
      <c r="M61" s="43"/>
      <c r="N61" s="38"/>
    </row>
    <row r="62" spans="1:14" x14ac:dyDescent="0.15">
      <c r="A62" s="28"/>
      <c r="B62" s="28"/>
      <c r="C62" s="29"/>
      <c r="D62" s="30"/>
      <c r="E62" s="30"/>
      <c r="F62" s="30"/>
      <c r="G62" s="31"/>
      <c r="I62" s="32"/>
      <c r="J62" s="32"/>
      <c r="K62" s="32"/>
      <c r="L62" s="32"/>
      <c r="M62" s="33"/>
      <c r="N62" s="34"/>
    </row>
    <row r="63" spans="1:14" x14ac:dyDescent="0.15">
      <c r="A63" s="11" t="s">
        <v>7</v>
      </c>
      <c r="B63" s="5" t="s">
        <v>16</v>
      </c>
      <c r="C63" s="11"/>
      <c r="D63" s="12" t="s">
        <v>25</v>
      </c>
      <c r="E63" s="61" t="str">
        <f>$N$5</f>
        <v>psi</v>
      </c>
      <c r="F63" s="61"/>
      <c r="G63" s="4"/>
      <c r="I63" s="18" t="s">
        <v>7</v>
      </c>
      <c r="J63" s="13" t="str">
        <f>B63</f>
        <v>CH10</v>
      </c>
      <c r="K63" s="6"/>
      <c r="L63" s="12"/>
      <c r="M63" s="5"/>
      <c r="N63" s="13"/>
    </row>
    <row r="64" spans="1:14" ht="15" customHeight="1" x14ac:dyDescent="0.15">
      <c r="A64" s="51" t="s">
        <v>28</v>
      </c>
      <c r="B64" s="51" t="s">
        <v>29</v>
      </c>
      <c r="C64" s="53"/>
      <c r="D64" s="54" t="s">
        <v>27</v>
      </c>
      <c r="E64" s="56" t="s">
        <v>26</v>
      </c>
      <c r="F64" s="57"/>
      <c r="G64" s="49" t="s">
        <v>3</v>
      </c>
      <c r="I64" s="36" t="s">
        <v>28</v>
      </c>
      <c r="J64" s="44" t="s">
        <v>33</v>
      </c>
      <c r="K64" s="46" t="s">
        <v>30</v>
      </c>
      <c r="L64" s="41" t="s">
        <v>34</v>
      </c>
      <c r="M64" s="38" t="s">
        <v>30</v>
      </c>
      <c r="N64" s="37" t="s">
        <v>35</v>
      </c>
    </row>
    <row r="65" spans="1:14" x14ac:dyDescent="0.15">
      <c r="A65" s="52"/>
      <c r="B65" s="8" t="s">
        <v>4</v>
      </c>
      <c r="C65" s="9" t="s">
        <v>5</v>
      </c>
      <c r="D65" s="55"/>
      <c r="E65" s="58"/>
      <c r="F65" s="59"/>
      <c r="G65" s="50"/>
      <c r="I65" s="35" t="str">
        <f>"（"&amp;$N$5&amp;"）"</f>
        <v>（psi）</v>
      </c>
      <c r="J65" s="45"/>
      <c r="K65" s="46"/>
      <c r="L65" s="41"/>
      <c r="M65" s="38"/>
      <c r="N65" s="38"/>
    </row>
    <row r="66" spans="1:14" x14ac:dyDescent="0.15">
      <c r="A66" s="23">
        <v>0</v>
      </c>
      <c r="B66" s="23">
        <v>0</v>
      </c>
      <c r="C66" s="24">
        <v>0</v>
      </c>
      <c r="D66" s="25">
        <f>IF(ABS(B66-A66)&gt;ABS(C66-A66),B66-A66,C66-A66)</f>
        <v>0</v>
      </c>
      <c r="E66" s="60">
        <f>ABS(B66-C66)</f>
        <v>0</v>
      </c>
      <c r="F66" s="60"/>
      <c r="G66" s="10">
        <v>1.2999999999999999E-2</v>
      </c>
      <c r="I66" s="26">
        <f t="shared" ref="I66:I67" si="45">A66</f>
        <v>0</v>
      </c>
      <c r="J66" s="14">
        <f>ABS(D66)/($N$6-$L$6)</f>
        <v>0</v>
      </c>
      <c r="K66" s="42">
        <f>MAX(J66:J67)</f>
        <v>0</v>
      </c>
      <c r="L66" s="14">
        <f>ABS(E66)/($N$6-$L$6)</f>
        <v>0</v>
      </c>
      <c r="M66" s="42">
        <f>MAX(L66:L67)</f>
        <v>0</v>
      </c>
      <c r="N66" s="38"/>
    </row>
    <row r="67" spans="1:14" x14ac:dyDescent="0.15">
      <c r="A67" s="23">
        <v>0</v>
      </c>
      <c r="B67" s="23">
        <v>0</v>
      </c>
      <c r="C67" s="24">
        <v>0</v>
      </c>
      <c r="D67" s="25">
        <f t="shared" ref="D67" si="46">IF(ABS(B67-A67)&gt;ABS(C67-A67),B67-A67,C67-A67)</f>
        <v>0</v>
      </c>
      <c r="E67" s="60">
        <f t="shared" ref="E67" si="47">ABS(B67-C67)</f>
        <v>0</v>
      </c>
      <c r="F67" s="60"/>
      <c r="G67" s="10">
        <v>1.2999999999999999E-2</v>
      </c>
      <c r="I67" s="26">
        <f t="shared" si="45"/>
        <v>0</v>
      </c>
      <c r="J67" s="14">
        <f t="shared" ref="J67" si="48">ABS(D67)/($N$6-$L$6)</f>
        <v>0</v>
      </c>
      <c r="K67" s="43"/>
      <c r="L67" s="14">
        <f t="shared" ref="L67" si="49">ABS(E67)/($N$6-$L$6)</f>
        <v>0</v>
      </c>
      <c r="M67" s="43"/>
      <c r="N67" s="38"/>
    </row>
    <row r="68" spans="1:14" x14ac:dyDescent="0.15">
      <c r="A68" s="28"/>
      <c r="B68" s="28"/>
      <c r="C68" s="29"/>
      <c r="D68" s="30"/>
      <c r="E68" s="30"/>
      <c r="F68" s="30"/>
      <c r="G68" s="31"/>
      <c r="I68" s="32"/>
      <c r="J68" s="32"/>
      <c r="K68" s="32"/>
      <c r="L68" s="32"/>
      <c r="M68" s="33"/>
      <c r="N68" s="34"/>
    </row>
    <row r="69" spans="1:14" x14ac:dyDescent="0.15">
      <c r="A69" s="11" t="s">
        <v>7</v>
      </c>
      <c r="B69" s="5" t="s">
        <v>17</v>
      </c>
      <c r="C69" s="11"/>
      <c r="D69" s="12" t="s">
        <v>25</v>
      </c>
      <c r="E69" s="61" t="str">
        <f>$N$5</f>
        <v>psi</v>
      </c>
      <c r="F69" s="61"/>
      <c r="G69" s="4"/>
      <c r="I69" s="18" t="s">
        <v>7</v>
      </c>
      <c r="J69" s="13" t="str">
        <f>B69</f>
        <v>CH11</v>
      </c>
      <c r="K69" s="6"/>
      <c r="L69" s="12"/>
      <c r="M69" s="5"/>
      <c r="N69" s="13"/>
    </row>
    <row r="70" spans="1:14" ht="15" customHeight="1" x14ac:dyDescent="0.15">
      <c r="A70" s="51" t="s">
        <v>28</v>
      </c>
      <c r="B70" s="51" t="s">
        <v>29</v>
      </c>
      <c r="C70" s="53"/>
      <c r="D70" s="54" t="s">
        <v>27</v>
      </c>
      <c r="E70" s="56" t="s">
        <v>26</v>
      </c>
      <c r="F70" s="57"/>
      <c r="G70" s="49" t="s">
        <v>3</v>
      </c>
      <c r="I70" s="36" t="s">
        <v>28</v>
      </c>
      <c r="J70" s="44" t="s">
        <v>33</v>
      </c>
      <c r="K70" s="46" t="s">
        <v>30</v>
      </c>
      <c r="L70" s="41" t="s">
        <v>34</v>
      </c>
      <c r="M70" s="38" t="s">
        <v>30</v>
      </c>
      <c r="N70" s="37" t="s">
        <v>35</v>
      </c>
    </row>
    <row r="71" spans="1:14" x14ac:dyDescent="0.15">
      <c r="A71" s="52"/>
      <c r="B71" s="8" t="s">
        <v>4</v>
      </c>
      <c r="C71" s="9" t="s">
        <v>5</v>
      </c>
      <c r="D71" s="55"/>
      <c r="E71" s="58"/>
      <c r="F71" s="59"/>
      <c r="G71" s="50"/>
      <c r="I71" s="35" t="str">
        <f>"（"&amp;$N$5&amp;"）"</f>
        <v>（psi）</v>
      </c>
      <c r="J71" s="45"/>
      <c r="K71" s="46"/>
      <c r="L71" s="41"/>
      <c r="M71" s="38"/>
      <c r="N71" s="38"/>
    </row>
    <row r="72" spans="1:14" x14ac:dyDescent="0.15">
      <c r="A72" s="23">
        <v>0</v>
      </c>
      <c r="B72" s="23">
        <v>0</v>
      </c>
      <c r="C72" s="24">
        <v>0</v>
      </c>
      <c r="D72" s="25">
        <f>IF(ABS(B72-A72)&gt;ABS(C72-A72),B72-A72,C72-A72)</f>
        <v>0</v>
      </c>
      <c r="E72" s="60">
        <f>ABS(B72-C72)</f>
        <v>0</v>
      </c>
      <c r="F72" s="60"/>
      <c r="G72" s="10">
        <v>1.2999999999999999E-2</v>
      </c>
      <c r="I72" s="26">
        <f t="shared" ref="I72:I73" si="50">A72</f>
        <v>0</v>
      </c>
      <c r="J72" s="14">
        <f>ABS(D72)/($N$6-$L$6)</f>
        <v>0</v>
      </c>
      <c r="K72" s="42">
        <f>MAX(J72:J73)</f>
        <v>0</v>
      </c>
      <c r="L72" s="14">
        <f>ABS(E72)/($N$6-$L$6)</f>
        <v>0</v>
      </c>
      <c r="M72" s="42">
        <f>MAX(L72:L73)</f>
        <v>0</v>
      </c>
      <c r="N72" s="38"/>
    </row>
    <row r="73" spans="1:14" x14ac:dyDescent="0.15">
      <c r="A73" s="23">
        <v>0</v>
      </c>
      <c r="B73" s="23">
        <v>0</v>
      </c>
      <c r="C73" s="24">
        <v>0</v>
      </c>
      <c r="D73" s="25">
        <f t="shared" ref="D73" si="51">IF(ABS(B73-A73)&gt;ABS(C73-A73),B73-A73,C73-A73)</f>
        <v>0</v>
      </c>
      <c r="E73" s="60">
        <f t="shared" ref="E73" si="52">ABS(B73-C73)</f>
        <v>0</v>
      </c>
      <c r="F73" s="60"/>
      <c r="G73" s="10">
        <v>1.2999999999999999E-2</v>
      </c>
      <c r="I73" s="26">
        <f t="shared" si="50"/>
        <v>0</v>
      </c>
      <c r="J73" s="14">
        <f t="shared" ref="J73" si="53">ABS(D73)/($N$6-$L$6)</f>
        <v>0</v>
      </c>
      <c r="K73" s="43"/>
      <c r="L73" s="14">
        <f t="shared" ref="L73" si="54">ABS(E73)/($N$6-$L$6)</f>
        <v>0</v>
      </c>
      <c r="M73" s="43"/>
      <c r="N73" s="38"/>
    </row>
    <row r="74" spans="1:14" x14ac:dyDescent="0.15">
      <c r="A74" s="28"/>
      <c r="B74" s="28"/>
      <c r="C74" s="29"/>
      <c r="D74" s="30"/>
      <c r="E74" s="30"/>
      <c r="F74" s="30"/>
      <c r="G74" s="31"/>
      <c r="I74" s="32"/>
      <c r="J74" s="32"/>
      <c r="K74" s="32"/>
      <c r="L74" s="32"/>
      <c r="M74" s="33"/>
      <c r="N74" s="34"/>
    </row>
    <row r="75" spans="1:14" x14ac:dyDescent="0.15">
      <c r="A75" s="11" t="s">
        <v>7</v>
      </c>
      <c r="B75" s="5" t="s">
        <v>18</v>
      </c>
      <c r="C75" s="11"/>
      <c r="D75" s="12" t="s">
        <v>25</v>
      </c>
      <c r="E75" s="61" t="str">
        <f>$N$5</f>
        <v>psi</v>
      </c>
      <c r="F75" s="61"/>
      <c r="G75" s="4"/>
      <c r="I75" s="18" t="s">
        <v>7</v>
      </c>
      <c r="J75" s="13" t="str">
        <f>B75</f>
        <v>CH12</v>
      </c>
      <c r="K75" s="6"/>
      <c r="L75" s="12"/>
      <c r="M75" s="5"/>
      <c r="N75" s="13"/>
    </row>
    <row r="76" spans="1:14" ht="15" customHeight="1" x14ac:dyDescent="0.15">
      <c r="A76" s="51" t="s">
        <v>28</v>
      </c>
      <c r="B76" s="51" t="s">
        <v>29</v>
      </c>
      <c r="C76" s="53"/>
      <c r="D76" s="54" t="s">
        <v>27</v>
      </c>
      <c r="E76" s="56" t="s">
        <v>26</v>
      </c>
      <c r="F76" s="57"/>
      <c r="G76" s="49" t="s">
        <v>3</v>
      </c>
      <c r="I76" s="36" t="s">
        <v>28</v>
      </c>
      <c r="J76" s="44" t="s">
        <v>33</v>
      </c>
      <c r="K76" s="46" t="s">
        <v>30</v>
      </c>
      <c r="L76" s="41" t="s">
        <v>34</v>
      </c>
      <c r="M76" s="38" t="s">
        <v>30</v>
      </c>
      <c r="N76" s="37" t="s">
        <v>35</v>
      </c>
    </row>
    <row r="77" spans="1:14" x14ac:dyDescent="0.15">
      <c r="A77" s="52"/>
      <c r="B77" s="8" t="s">
        <v>4</v>
      </c>
      <c r="C77" s="9" t="s">
        <v>5</v>
      </c>
      <c r="D77" s="55"/>
      <c r="E77" s="58"/>
      <c r="F77" s="59"/>
      <c r="G77" s="50"/>
      <c r="I77" s="35" t="str">
        <f>"（"&amp;$N$5&amp;"）"</f>
        <v>（psi）</v>
      </c>
      <c r="J77" s="45"/>
      <c r="K77" s="46"/>
      <c r="L77" s="41"/>
      <c r="M77" s="38"/>
      <c r="N77" s="38"/>
    </row>
    <row r="78" spans="1:14" x14ac:dyDescent="0.15">
      <c r="A78" s="23">
        <v>0</v>
      </c>
      <c r="B78" s="23">
        <v>0</v>
      </c>
      <c r="C78" s="24">
        <v>0</v>
      </c>
      <c r="D78" s="25">
        <f>IF(ABS(B78-A78)&gt;ABS(C78-A78),B78-A78,C78-A78)</f>
        <v>0</v>
      </c>
      <c r="E78" s="60">
        <f>ABS(B78-C78)</f>
        <v>0</v>
      </c>
      <c r="F78" s="60"/>
      <c r="G78" s="10">
        <v>1.2999999999999999E-2</v>
      </c>
      <c r="I78" s="26">
        <f t="shared" ref="I78:I79" si="55">A78</f>
        <v>0</v>
      </c>
      <c r="J78" s="14">
        <f>ABS(D78)/($N$6-$L$6)</f>
        <v>0</v>
      </c>
      <c r="K78" s="42">
        <f>MAX(J78:J79)</f>
        <v>0</v>
      </c>
      <c r="L78" s="14">
        <f>ABS(E78)/($N$6-$L$6)</f>
        <v>0</v>
      </c>
      <c r="M78" s="42">
        <f>MAX(L78:L79)</f>
        <v>0</v>
      </c>
      <c r="N78" s="38"/>
    </row>
    <row r="79" spans="1:14" x14ac:dyDescent="0.15">
      <c r="A79" s="23">
        <v>0</v>
      </c>
      <c r="B79" s="23">
        <v>0</v>
      </c>
      <c r="C79" s="24">
        <v>0</v>
      </c>
      <c r="D79" s="25">
        <f t="shared" ref="D79" si="56">IF(ABS(B79-A79)&gt;ABS(C79-A79),B79-A79,C79-A79)</f>
        <v>0</v>
      </c>
      <c r="E79" s="60">
        <f t="shared" ref="E79" si="57">ABS(B79-C79)</f>
        <v>0</v>
      </c>
      <c r="F79" s="60"/>
      <c r="G79" s="10">
        <v>1.2999999999999999E-2</v>
      </c>
      <c r="I79" s="26">
        <f t="shared" si="55"/>
        <v>0</v>
      </c>
      <c r="J79" s="14">
        <f t="shared" ref="J79" si="58">ABS(D79)/($N$6-$L$6)</f>
        <v>0</v>
      </c>
      <c r="K79" s="43"/>
      <c r="L79" s="14">
        <f t="shared" ref="L79" si="59">ABS(E79)/($N$6-$L$6)</f>
        <v>0</v>
      </c>
      <c r="M79" s="43"/>
      <c r="N79" s="38"/>
    </row>
    <row r="80" spans="1:14" x14ac:dyDescent="0.15">
      <c r="A80" s="28"/>
      <c r="B80" s="28"/>
      <c r="C80" s="29"/>
      <c r="D80" s="30"/>
      <c r="E80" s="30"/>
      <c r="F80" s="30"/>
      <c r="G80" s="31"/>
      <c r="I80" s="32"/>
      <c r="J80" s="32"/>
      <c r="K80" s="32"/>
      <c r="L80" s="32"/>
      <c r="M80" s="33"/>
      <c r="N80" s="34"/>
    </row>
    <row r="81" spans="1:14" x14ac:dyDescent="0.15">
      <c r="A81" s="11" t="s">
        <v>7</v>
      </c>
      <c r="B81" s="5" t="s">
        <v>19</v>
      </c>
      <c r="C81" s="11"/>
      <c r="D81" s="12" t="s">
        <v>25</v>
      </c>
      <c r="E81" s="61" t="str">
        <f>$N$5</f>
        <v>psi</v>
      </c>
      <c r="F81" s="61"/>
      <c r="G81" s="4"/>
      <c r="I81" s="18" t="s">
        <v>7</v>
      </c>
      <c r="J81" s="13" t="str">
        <f>B81</f>
        <v>CH13</v>
      </c>
      <c r="K81" s="6"/>
      <c r="L81" s="12"/>
      <c r="M81" s="5"/>
      <c r="N81" s="13"/>
    </row>
    <row r="82" spans="1:14" ht="15" customHeight="1" x14ac:dyDescent="0.15">
      <c r="A82" s="51" t="s">
        <v>28</v>
      </c>
      <c r="B82" s="51" t="s">
        <v>29</v>
      </c>
      <c r="C82" s="53"/>
      <c r="D82" s="54" t="s">
        <v>27</v>
      </c>
      <c r="E82" s="56" t="s">
        <v>26</v>
      </c>
      <c r="F82" s="57"/>
      <c r="G82" s="49" t="s">
        <v>3</v>
      </c>
      <c r="I82" s="36" t="s">
        <v>28</v>
      </c>
      <c r="J82" s="44" t="s">
        <v>33</v>
      </c>
      <c r="K82" s="46" t="s">
        <v>30</v>
      </c>
      <c r="L82" s="41" t="s">
        <v>34</v>
      </c>
      <c r="M82" s="38" t="s">
        <v>30</v>
      </c>
      <c r="N82" s="37" t="s">
        <v>35</v>
      </c>
    </row>
    <row r="83" spans="1:14" x14ac:dyDescent="0.15">
      <c r="A83" s="52"/>
      <c r="B83" s="8" t="s">
        <v>4</v>
      </c>
      <c r="C83" s="9" t="s">
        <v>5</v>
      </c>
      <c r="D83" s="55"/>
      <c r="E83" s="58"/>
      <c r="F83" s="59"/>
      <c r="G83" s="50"/>
      <c r="I83" s="35" t="str">
        <f>"（"&amp;$N$5&amp;"）"</f>
        <v>（psi）</v>
      </c>
      <c r="J83" s="45"/>
      <c r="K83" s="46"/>
      <c r="L83" s="41"/>
      <c r="M83" s="38"/>
      <c r="N83" s="38"/>
    </row>
    <row r="84" spans="1:14" x14ac:dyDescent="0.15">
      <c r="A84" s="23">
        <v>0</v>
      </c>
      <c r="B84" s="23">
        <v>0</v>
      </c>
      <c r="C84" s="24">
        <v>0</v>
      </c>
      <c r="D84" s="25">
        <f>IF(ABS(B84-A84)&gt;ABS(C84-A84),B84-A84,C84-A84)</f>
        <v>0</v>
      </c>
      <c r="E84" s="60">
        <f>ABS(B84-C84)</f>
        <v>0</v>
      </c>
      <c r="F84" s="60"/>
      <c r="G84" s="10">
        <v>1.2999999999999999E-2</v>
      </c>
      <c r="I84" s="26">
        <f t="shared" ref="I84:I85" si="60">A84</f>
        <v>0</v>
      </c>
      <c r="J84" s="14">
        <f>ABS(D84)/($N$6-$L$6)</f>
        <v>0</v>
      </c>
      <c r="K84" s="42">
        <f>MAX(J84:J85)</f>
        <v>0</v>
      </c>
      <c r="L84" s="14">
        <f>ABS(E84)/($N$6-$L$6)</f>
        <v>0</v>
      </c>
      <c r="M84" s="42">
        <f>MAX(L84:L85)</f>
        <v>0</v>
      </c>
      <c r="N84" s="38"/>
    </row>
    <row r="85" spans="1:14" x14ac:dyDescent="0.15">
      <c r="A85" s="23">
        <v>0</v>
      </c>
      <c r="B85" s="23">
        <v>0</v>
      </c>
      <c r="C85" s="24">
        <v>0</v>
      </c>
      <c r="D85" s="25">
        <f t="shared" ref="D85" si="61">IF(ABS(B85-A85)&gt;ABS(C85-A85),B85-A85,C85-A85)</f>
        <v>0</v>
      </c>
      <c r="E85" s="60">
        <f t="shared" ref="E85" si="62">ABS(B85-C85)</f>
        <v>0</v>
      </c>
      <c r="F85" s="60"/>
      <c r="G85" s="10">
        <v>1.2999999999999999E-2</v>
      </c>
      <c r="I85" s="26">
        <f t="shared" si="60"/>
        <v>0</v>
      </c>
      <c r="J85" s="14">
        <f t="shared" ref="J85" si="63">ABS(D85)/($N$6-$L$6)</f>
        <v>0</v>
      </c>
      <c r="K85" s="43"/>
      <c r="L85" s="14">
        <f t="shared" ref="L85" si="64">ABS(E85)/($N$6-$L$6)</f>
        <v>0</v>
      </c>
      <c r="M85" s="43"/>
      <c r="N85" s="38"/>
    </row>
    <row r="86" spans="1:14" x14ac:dyDescent="0.15">
      <c r="A86" s="28"/>
      <c r="B86" s="28"/>
      <c r="C86" s="29"/>
      <c r="D86" s="30"/>
      <c r="E86" s="30"/>
      <c r="F86" s="30"/>
      <c r="G86" s="31"/>
      <c r="I86" s="32"/>
      <c r="J86" s="32"/>
      <c r="K86" s="32"/>
      <c r="L86" s="32"/>
      <c r="M86" s="33"/>
      <c r="N86" s="34"/>
    </row>
    <row r="87" spans="1:14" x14ac:dyDescent="0.15">
      <c r="A87" s="11" t="s">
        <v>7</v>
      </c>
      <c r="B87" s="5" t="s">
        <v>20</v>
      </c>
      <c r="C87" s="11"/>
      <c r="D87" s="12" t="s">
        <v>25</v>
      </c>
      <c r="E87" s="61" t="str">
        <f>$N$5</f>
        <v>psi</v>
      </c>
      <c r="F87" s="61"/>
      <c r="G87" s="4"/>
      <c r="I87" s="18" t="s">
        <v>7</v>
      </c>
      <c r="J87" s="13" t="str">
        <f>B87</f>
        <v>CH14</v>
      </c>
      <c r="K87" s="6"/>
      <c r="L87" s="12"/>
      <c r="M87" s="5"/>
      <c r="N87" s="13"/>
    </row>
    <row r="88" spans="1:14" ht="15" customHeight="1" x14ac:dyDescent="0.15">
      <c r="A88" s="51" t="s">
        <v>28</v>
      </c>
      <c r="B88" s="51" t="s">
        <v>29</v>
      </c>
      <c r="C88" s="53"/>
      <c r="D88" s="54" t="s">
        <v>27</v>
      </c>
      <c r="E88" s="56" t="s">
        <v>26</v>
      </c>
      <c r="F88" s="57"/>
      <c r="G88" s="49" t="s">
        <v>3</v>
      </c>
      <c r="I88" s="36" t="s">
        <v>28</v>
      </c>
      <c r="J88" s="44" t="s">
        <v>33</v>
      </c>
      <c r="K88" s="46" t="s">
        <v>30</v>
      </c>
      <c r="L88" s="41" t="s">
        <v>34</v>
      </c>
      <c r="M88" s="38" t="s">
        <v>30</v>
      </c>
      <c r="N88" s="37" t="s">
        <v>35</v>
      </c>
    </row>
    <row r="89" spans="1:14" x14ac:dyDescent="0.15">
      <c r="A89" s="52"/>
      <c r="B89" s="8" t="s">
        <v>4</v>
      </c>
      <c r="C89" s="9" t="s">
        <v>5</v>
      </c>
      <c r="D89" s="55"/>
      <c r="E89" s="58"/>
      <c r="F89" s="59"/>
      <c r="G89" s="50"/>
      <c r="I89" s="35" t="str">
        <f>"（"&amp;$N$5&amp;"）"</f>
        <v>（psi）</v>
      </c>
      <c r="J89" s="45"/>
      <c r="K89" s="46"/>
      <c r="L89" s="41"/>
      <c r="M89" s="38"/>
      <c r="N89" s="38"/>
    </row>
    <row r="90" spans="1:14" x14ac:dyDescent="0.15">
      <c r="A90" s="23">
        <v>0</v>
      </c>
      <c r="B90" s="23">
        <v>0</v>
      </c>
      <c r="C90" s="24">
        <v>0</v>
      </c>
      <c r="D90" s="25">
        <f>IF(ABS(B90-A90)&gt;ABS(C90-A90),B90-A90,C90-A90)</f>
        <v>0</v>
      </c>
      <c r="E90" s="60">
        <f>ABS(B90-C90)</f>
        <v>0</v>
      </c>
      <c r="F90" s="60"/>
      <c r="G90" s="10">
        <v>1.2999999999999999E-2</v>
      </c>
      <c r="I90" s="26">
        <f t="shared" ref="I90:I91" si="65">A90</f>
        <v>0</v>
      </c>
      <c r="J90" s="14">
        <f>ABS(D90)/($N$6-$L$6)</f>
        <v>0</v>
      </c>
      <c r="K90" s="42">
        <f>MAX(J90:J91)</f>
        <v>0</v>
      </c>
      <c r="L90" s="14">
        <f>ABS(E90)/($N$6-$L$6)</f>
        <v>0</v>
      </c>
      <c r="M90" s="42">
        <f>MAX(L90:L91)</f>
        <v>0</v>
      </c>
      <c r="N90" s="38"/>
    </row>
    <row r="91" spans="1:14" x14ac:dyDescent="0.15">
      <c r="A91" s="23">
        <v>0</v>
      </c>
      <c r="B91" s="23">
        <v>0</v>
      </c>
      <c r="C91" s="24">
        <v>0</v>
      </c>
      <c r="D91" s="25">
        <f t="shared" ref="D91" si="66">IF(ABS(B91-A91)&gt;ABS(C91-A91),B91-A91,C91-A91)</f>
        <v>0</v>
      </c>
      <c r="E91" s="60">
        <f t="shared" ref="E91" si="67">ABS(B91-C91)</f>
        <v>0</v>
      </c>
      <c r="F91" s="60"/>
      <c r="G91" s="10">
        <v>1.2999999999999999E-2</v>
      </c>
      <c r="I91" s="26">
        <f t="shared" si="65"/>
        <v>0</v>
      </c>
      <c r="J91" s="14">
        <f t="shared" ref="J91" si="68">ABS(D91)/($N$6-$L$6)</f>
        <v>0</v>
      </c>
      <c r="K91" s="43"/>
      <c r="L91" s="14">
        <f t="shared" ref="L91" si="69">ABS(E91)/($N$6-$L$6)</f>
        <v>0</v>
      </c>
      <c r="M91" s="43"/>
      <c r="N91" s="38"/>
    </row>
    <row r="92" spans="1:14" x14ac:dyDescent="0.15">
      <c r="A92" s="28"/>
      <c r="B92" s="28"/>
      <c r="C92" s="29"/>
      <c r="D92" s="30"/>
      <c r="E92" s="30"/>
      <c r="F92" s="30"/>
      <c r="G92" s="31"/>
      <c r="I92" s="32"/>
      <c r="M92" s="33"/>
      <c r="N92" s="34"/>
    </row>
    <row r="93" spans="1:14" x14ac:dyDescent="0.15">
      <c r="A93" s="28"/>
      <c r="B93" s="28"/>
      <c r="C93" s="29"/>
      <c r="D93" s="30"/>
      <c r="E93" s="30"/>
      <c r="F93" s="30"/>
      <c r="G93" s="31"/>
      <c r="I93" s="32"/>
      <c r="M93" s="33"/>
      <c r="N93" s="34"/>
    </row>
    <row r="94" spans="1:14" x14ac:dyDescent="0.15">
      <c r="A94" s="28"/>
      <c r="B94" s="28"/>
      <c r="C94" s="29"/>
      <c r="D94" s="30"/>
      <c r="E94" s="30"/>
      <c r="F94" s="30"/>
      <c r="G94" s="31"/>
      <c r="I94" s="32"/>
      <c r="M94" s="33"/>
      <c r="N94" s="34"/>
    </row>
    <row r="95" spans="1:14" x14ac:dyDescent="0.15">
      <c r="A95" s="11" t="s">
        <v>7</v>
      </c>
      <c r="B95" s="5" t="s">
        <v>21</v>
      </c>
      <c r="C95" s="11"/>
      <c r="D95" s="12" t="s">
        <v>25</v>
      </c>
      <c r="E95" s="61" t="str">
        <f>$N$5</f>
        <v>psi</v>
      </c>
      <c r="F95" s="61"/>
      <c r="G95" s="4"/>
      <c r="I95" s="18" t="s">
        <v>7</v>
      </c>
      <c r="J95" s="13" t="str">
        <f>B95</f>
        <v>CH15</v>
      </c>
      <c r="K95" s="6"/>
      <c r="L95" s="12"/>
      <c r="M95" s="5"/>
      <c r="N95" s="13"/>
    </row>
    <row r="96" spans="1:14" ht="15" customHeight="1" x14ac:dyDescent="0.15">
      <c r="A96" s="51" t="s">
        <v>28</v>
      </c>
      <c r="B96" s="51" t="s">
        <v>29</v>
      </c>
      <c r="C96" s="53"/>
      <c r="D96" s="54" t="s">
        <v>27</v>
      </c>
      <c r="E96" s="56" t="s">
        <v>26</v>
      </c>
      <c r="F96" s="57"/>
      <c r="G96" s="49" t="s">
        <v>3</v>
      </c>
      <c r="I96" s="36" t="s">
        <v>28</v>
      </c>
      <c r="J96" s="44" t="s">
        <v>33</v>
      </c>
      <c r="K96" s="46" t="s">
        <v>30</v>
      </c>
      <c r="L96" s="41" t="s">
        <v>34</v>
      </c>
      <c r="M96" s="38" t="s">
        <v>30</v>
      </c>
      <c r="N96" s="37" t="s">
        <v>35</v>
      </c>
    </row>
    <row r="97" spans="1:14" x14ac:dyDescent="0.15">
      <c r="A97" s="52"/>
      <c r="B97" s="8" t="s">
        <v>4</v>
      </c>
      <c r="C97" s="9" t="s">
        <v>5</v>
      </c>
      <c r="D97" s="55"/>
      <c r="E97" s="58"/>
      <c r="F97" s="59"/>
      <c r="G97" s="50"/>
      <c r="I97" s="35" t="str">
        <f>"（"&amp;$N$5&amp;"）"</f>
        <v>（psi）</v>
      </c>
      <c r="J97" s="45"/>
      <c r="K97" s="46"/>
      <c r="L97" s="41"/>
      <c r="M97" s="38"/>
      <c r="N97" s="38"/>
    </row>
    <row r="98" spans="1:14" x14ac:dyDescent="0.15">
      <c r="A98" s="23">
        <v>0</v>
      </c>
      <c r="B98" s="23">
        <v>0</v>
      </c>
      <c r="C98" s="24">
        <v>0</v>
      </c>
      <c r="D98" s="25">
        <f>IF(ABS(B98-A98)&gt;ABS(C98-A98),B98-A98,C98-A98)</f>
        <v>0</v>
      </c>
      <c r="E98" s="60">
        <f>ABS(B98-C98)</f>
        <v>0</v>
      </c>
      <c r="F98" s="60"/>
      <c r="G98" s="10">
        <v>1.2999999999999999E-2</v>
      </c>
      <c r="I98" s="26">
        <f t="shared" ref="I98:I99" si="70">A98</f>
        <v>0</v>
      </c>
      <c r="J98" s="14">
        <f>ABS(D98)/($N$6-$L$6)</f>
        <v>0</v>
      </c>
      <c r="K98" s="42">
        <f>MAX(J98:J99)</f>
        <v>0</v>
      </c>
      <c r="L98" s="14">
        <f>ABS(E98)/($N$6-$L$6)</f>
        <v>0</v>
      </c>
      <c r="M98" s="42">
        <f>MAX(L98:L99)</f>
        <v>0</v>
      </c>
      <c r="N98" s="38"/>
    </row>
    <row r="99" spans="1:14" x14ac:dyDescent="0.15">
      <c r="A99" s="23">
        <v>0</v>
      </c>
      <c r="B99" s="23">
        <v>0</v>
      </c>
      <c r="C99" s="24">
        <v>0</v>
      </c>
      <c r="D99" s="25">
        <f t="shared" ref="D99" si="71">IF(ABS(B99-A99)&gt;ABS(C99-A99),B99-A99,C99-A99)</f>
        <v>0</v>
      </c>
      <c r="E99" s="60">
        <f t="shared" ref="E99" si="72">ABS(B99-C99)</f>
        <v>0</v>
      </c>
      <c r="F99" s="60"/>
      <c r="G99" s="10">
        <v>1.2999999999999999E-2</v>
      </c>
      <c r="I99" s="26">
        <f t="shared" si="70"/>
        <v>0</v>
      </c>
      <c r="J99" s="14">
        <f t="shared" ref="J99" si="73">ABS(D99)/($N$6-$L$6)</f>
        <v>0</v>
      </c>
      <c r="K99" s="43"/>
      <c r="L99" s="14">
        <f t="shared" ref="L99" si="74">ABS(E99)/($N$6-$L$6)</f>
        <v>0</v>
      </c>
      <c r="M99" s="43"/>
      <c r="N99" s="38"/>
    </row>
    <row r="100" spans="1:14" x14ac:dyDescent="0.15">
      <c r="A100" s="28"/>
      <c r="B100" s="28"/>
      <c r="C100" s="29"/>
      <c r="D100" s="30"/>
      <c r="E100" s="30"/>
      <c r="F100" s="30"/>
      <c r="G100" s="31"/>
      <c r="I100" s="32"/>
      <c r="J100" s="33"/>
      <c r="K100" s="33"/>
      <c r="L100" s="33"/>
      <c r="M100" s="33"/>
      <c r="N100" s="34"/>
    </row>
    <row r="101" spans="1:14" ht="27" x14ac:dyDescent="0.15">
      <c r="A101" s="76" t="s">
        <v>48</v>
      </c>
      <c r="B101" s="5" t="s">
        <v>22</v>
      </c>
      <c r="C101" s="11"/>
      <c r="D101" s="12" t="s">
        <v>25</v>
      </c>
      <c r="E101" s="61" t="str">
        <f>$N$5</f>
        <v>psi</v>
      </c>
      <c r="F101" s="61"/>
      <c r="G101" s="4"/>
      <c r="I101" s="18" t="s">
        <v>7</v>
      </c>
      <c r="J101" s="13" t="str">
        <f>B101</f>
        <v>CH16</v>
      </c>
      <c r="K101" s="6"/>
      <c r="L101" s="12"/>
      <c r="M101" s="5"/>
      <c r="N101" s="13"/>
    </row>
    <row r="102" spans="1:14" ht="28.5" customHeight="1" x14ac:dyDescent="0.15">
      <c r="A102" s="51" t="s">
        <v>51</v>
      </c>
      <c r="B102" s="51" t="s">
        <v>52</v>
      </c>
      <c r="C102" s="53"/>
      <c r="D102" s="54" t="s">
        <v>55</v>
      </c>
      <c r="E102" s="56" t="s">
        <v>56</v>
      </c>
      <c r="F102" s="57"/>
      <c r="G102" s="49" t="s">
        <v>3</v>
      </c>
      <c r="I102" s="36" t="s">
        <v>28</v>
      </c>
      <c r="J102" s="44" t="s">
        <v>33</v>
      </c>
      <c r="K102" s="46" t="s">
        <v>30</v>
      </c>
      <c r="L102" s="41" t="s">
        <v>34</v>
      </c>
      <c r="M102" s="38" t="s">
        <v>30</v>
      </c>
      <c r="N102" s="37" t="s">
        <v>35</v>
      </c>
    </row>
    <row r="103" spans="1:14" x14ac:dyDescent="0.15">
      <c r="A103" s="52"/>
      <c r="B103" s="78" t="s">
        <v>53</v>
      </c>
      <c r="C103" s="79" t="s">
        <v>54</v>
      </c>
      <c r="D103" s="55"/>
      <c r="E103" s="58"/>
      <c r="F103" s="59"/>
      <c r="G103" s="50"/>
      <c r="I103" s="35" t="str">
        <f>"（"&amp;$N$5&amp;"）"</f>
        <v>（psi）</v>
      </c>
      <c r="J103" s="45"/>
      <c r="K103" s="46"/>
      <c r="L103" s="41"/>
      <c r="M103" s="38"/>
      <c r="N103" s="38"/>
    </row>
    <row r="104" spans="1:14" x14ac:dyDescent="0.15">
      <c r="A104" s="23">
        <v>0</v>
      </c>
      <c r="B104" s="23">
        <v>0</v>
      </c>
      <c r="C104" s="24">
        <v>0</v>
      </c>
      <c r="D104" s="25">
        <f>IF(ABS(B104-A104)&gt;ABS(C104-A104),B104-A104,C104-A104)</f>
        <v>0</v>
      </c>
      <c r="E104" s="60">
        <f>ABS(B104-C104)</f>
        <v>0</v>
      </c>
      <c r="F104" s="60"/>
      <c r="G104" s="10">
        <v>1.2999999999999999E-2</v>
      </c>
      <c r="I104" s="26">
        <f t="shared" ref="I104:I105" si="75">A104</f>
        <v>0</v>
      </c>
      <c r="J104" s="14">
        <f>ABS(D104)/($N$6-$L$6)</f>
        <v>0</v>
      </c>
      <c r="K104" s="42">
        <f>MAX(J104:J105)</f>
        <v>0</v>
      </c>
      <c r="L104" s="14">
        <f>ABS(E104)/($N$6-$L$6)</f>
        <v>0</v>
      </c>
      <c r="M104" s="42">
        <f>MAX(L104:L105)</f>
        <v>0</v>
      </c>
      <c r="N104" s="38"/>
    </row>
    <row r="105" spans="1:14" x14ac:dyDescent="0.15">
      <c r="A105" s="23">
        <v>0</v>
      </c>
      <c r="B105" s="23">
        <v>0</v>
      </c>
      <c r="C105" s="24">
        <v>0</v>
      </c>
      <c r="D105" s="25">
        <f t="shared" ref="D105" si="76">IF(ABS(B105-A105)&gt;ABS(C105-A105),B105-A105,C105-A105)</f>
        <v>0</v>
      </c>
      <c r="E105" s="60">
        <f t="shared" ref="E105" si="77">ABS(B105-C105)</f>
        <v>0</v>
      </c>
      <c r="F105" s="60"/>
      <c r="G105" s="10">
        <v>1.2999999999999999E-2</v>
      </c>
      <c r="I105" s="26">
        <f t="shared" si="75"/>
        <v>0</v>
      </c>
      <c r="J105" s="14">
        <f t="shared" ref="J105" si="78">ABS(D105)/($N$6-$L$6)</f>
        <v>0</v>
      </c>
      <c r="K105" s="43"/>
      <c r="L105" s="14">
        <f t="shared" ref="L105" si="79">ABS(E105)/($N$6-$L$6)</f>
        <v>0</v>
      </c>
      <c r="M105" s="43"/>
      <c r="N105" s="38"/>
    </row>
    <row r="106" spans="1:14" x14ac:dyDescent="0.15">
      <c r="A106" s="28"/>
      <c r="B106" s="28"/>
      <c r="C106" s="29"/>
      <c r="D106" s="30"/>
      <c r="E106" s="30"/>
      <c r="F106" s="30"/>
      <c r="G106" s="31"/>
      <c r="I106" s="32"/>
      <c r="J106" s="32"/>
      <c r="K106" s="32"/>
      <c r="L106" s="32"/>
      <c r="M106" s="32"/>
      <c r="N106" s="34"/>
    </row>
    <row r="107" spans="1:14" x14ac:dyDescent="0.15">
      <c r="A107" s="48"/>
      <c r="B107" s="48"/>
      <c r="C107" s="48"/>
      <c r="D107" s="48"/>
      <c r="E107" s="48"/>
      <c r="F107" s="48"/>
      <c r="G107" s="48"/>
    </row>
    <row r="108" spans="1:14" x14ac:dyDescent="0.15">
      <c r="A108" s="62" t="s">
        <v>2</v>
      </c>
      <c r="B108" s="62"/>
      <c r="C108" s="62"/>
      <c r="D108" s="62"/>
      <c r="E108" s="62"/>
      <c r="F108" s="62"/>
      <c r="G108" s="62"/>
    </row>
    <row r="109" spans="1:14" x14ac:dyDescent="0.15">
      <c r="A109" s="48" t="s">
        <v>1</v>
      </c>
      <c r="B109" s="48"/>
      <c r="C109" s="48"/>
      <c r="D109" s="48"/>
      <c r="E109" s="48"/>
      <c r="F109" s="48"/>
      <c r="G109" s="48"/>
    </row>
  </sheetData>
  <mergeCells count="265">
    <mergeCell ref="E104:F104"/>
    <mergeCell ref="E105:F105"/>
    <mergeCell ref="E98:F98"/>
    <mergeCell ref="E99:F99"/>
    <mergeCell ref="E101:F101"/>
    <mergeCell ref="E91:F91"/>
    <mergeCell ref="E95:F95"/>
    <mergeCell ref="G88:G89"/>
    <mergeCell ref="E90:F90"/>
    <mergeCell ref="G96:G97"/>
    <mergeCell ref="G82:G83"/>
    <mergeCell ref="E84:F84"/>
    <mergeCell ref="E85:F85"/>
    <mergeCell ref="E87:F87"/>
    <mergeCell ref="E81:F81"/>
    <mergeCell ref="A102:A103"/>
    <mergeCell ref="B102:C102"/>
    <mergeCell ref="D102:D103"/>
    <mergeCell ref="E102:F103"/>
    <mergeCell ref="A96:A97"/>
    <mergeCell ref="B96:C96"/>
    <mergeCell ref="D96:D97"/>
    <mergeCell ref="E96:F97"/>
    <mergeCell ref="A88:A89"/>
    <mergeCell ref="B88:C88"/>
    <mergeCell ref="D88:D89"/>
    <mergeCell ref="E88:F89"/>
    <mergeCell ref="G102:G103"/>
    <mergeCell ref="A82:A83"/>
    <mergeCell ref="B82:C82"/>
    <mergeCell ref="D82:D83"/>
    <mergeCell ref="E82:F83"/>
    <mergeCell ref="A76:A77"/>
    <mergeCell ref="B76:C76"/>
    <mergeCell ref="D76:D77"/>
    <mergeCell ref="E76:F77"/>
    <mergeCell ref="E78:F78"/>
    <mergeCell ref="E79:F79"/>
    <mergeCell ref="E75:F75"/>
    <mergeCell ref="E51:F51"/>
    <mergeCell ref="E72:F72"/>
    <mergeCell ref="E73:F73"/>
    <mergeCell ref="A58:A59"/>
    <mergeCell ref="B58:C58"/>
    <mergeCell ref="D58:D59"/>
    <mergeCell ref="E58:F59"/>
    <mergeCell ref="E55:F55"/>
    <mergeCell ref="E57:F57"/>
    <mergeCell ref="E54:F54"/>
    <mergeCell ref="A70:A71"/>
    <mergeCell ref="B70:C70"/>
    <mergeCell ref="D70:D71"/>
    <mergeCell ref="E70:F71"/>
    <mergeCell ref="E47:F47"/>
    <mergeCell ref="G58:G59"/>
    <mergeCell ref="E63:F63"/>
    <mergeCell ref="E60:F60"/>
    <mergeCell ref="E61:F61"/>
    <mergeCell ref="D32:D33"/>
    <mergeCell ref="A26:A27"/>
    <mergeCell ref="B26:C26"/>
    <mergeCell ref="D26:D27"/>
    <mergeCell ref="A44:A45"/>
    <mergeCell ref="A38:A39"/>
    <mergeCell ref="G52:G53"/>
    <mergeCell ref="E46:F46"/>
    <mergeCell ref="E26:F27"/>
    <mergeCell ref="G26:G27"/>
    <mergeCell ref="E28:F28"/>
    <mergeCell ref="E29:F29"/>
    <mergeCell ref="E37:F37"/>
    <mergeCell ref="E35:F35"/>
    <mergeCell ref="E31:F31"/>
    <mergeCell ref="A52:A53"/>
    <mergeCell ref="B52:C52"/>
    <mergeCell ref="D52:D53"/>
    <mergeCell ref="E52:F53"/>
    <mergeCell ref="F1:G1"/>
    <mergeCell ref="G8:G9"/>
    <mergeCell ref="E8:F9"/>
    <mergeCell ref="E10:F10"/>
    <mergeCell ref="E11:F11"/>
    <mergeCell ref="E14:F15"/>
    <mergeCell ref="G14:G15"/>
    <mergeCell ref="B44:C44"/>
    <mergeCell ref="D44:D45"/>
    <mergeCell ref="B38:C38"/>
    <mergeCell ref="D38:D39"/>
    <mergeCell ref="G20:G21"/>
    <mergeCell ref="E22:F22"/>
    <mergeCell ref="E23:F23"/>
    <mergeCell ref="E25:F25"/>
    <mergeCell ref="E44:F45"/>
    <mergeCell ref="G38:G39"/>
    <mergeCell ref="E40:F40"/>
    <mergeCell ref="E41:F41"/>
    <mergeCell ref="E38:F39"/>
    <mergeCell ref="G44:G45"/>
    <mergeCell ref="E43:F43"/>
    <mergeCell ref="G32:G33"/>
    <mergeCell ref="E34:F34"/>
    <mergeCell ref="A107:G107"/>
    <mergeCell ref="A108:G108"/>
    <mergeCell ref="A109:G109"/>
    <mergeCell ref="A3:G3"/>
    <mergeCell ref="A4:G4"/>
    <mergeCell ref="A8:A9"/>
    <mergeCell ref="B8:C8"/>
    <mergeCell ref="D8:D9"/>
    <mergeCell ref="E7:F7"/>
    <mergeCell ref="E16:F16"/>
    <mergeCell ref="E13:F13"/>
    <mergeCell ref="E19:F19"/>
    <mergeCell ref="A20:A21"/>
    <mergeCell ref="B20:C20"/>
    <mergeCell ref="D20:D21"/>
    <mergeCell ref="E20:F21"/>
    <mergeCell ref="A14:A15"/>
    <mergeCell ref="A32:A33"/>
    <mergeCell ref="B14:C14"/>
    <mergeCell ref="D14:D15"/>
    <mergeCell ref="B32:C32"/>
    <mergeCell ref="E17:F17"/>
    <mergeCell ref="G76:G77"/>
    <mergeCell ref="E32:F33"/>
    <mergeCell ref="G70:G71"/>
    <mergeCell ref="A64:A65"/>
    <mergeCell ref="B64:C64"/>
    <mergeCell ref="D64:D65"/>
    <mergeCell ref="E64:F65"/>
    <mergeCell ref="G64:G65"/>
    <mergeCell ref="E66:F66"/>
    <mergeCell ref="E67:F67"/>
    <mergeCell ref="E69:F69"/>
    <mergeCell ref="K54:K55"/>
    <mergeCell ref="I4:M4"/>
    <mergeCell ref="M22:M23"/>
    <mergeCell ref="J26:J27"/>
    <mergeCell ref="K26:K27"/>
    <mergeCell ref="L26:L27"/>
    <mergeCell ref="M26:M27"/>
    <mergeCell ref="K28:K29"/>
    <mergeCell ref="M28:M29"/>
    <mergeCell ref="J32:J33"/>
    <mergeCell ref="K32:K33"/>
    <mergeCell ref="L32:L33"/>
    <mergeCell ref="M32:M33"/>
    <mergeCell ref="K22:K23"/>
    <mergeCell ref="K34:K35"/>
    <mergeCell ref="M34:M35"/>
    <mergeCell ref="J38:J39"/>
    <mergeCell ref="K38:K39"/>
    <mergeCell ref="J44:J45"/>
    <mergeCell ref="K44:K45"/>
    <mergeCell ref="L44:L45"/>
    <mergeCell ref="M44:M45"/>
    <mergeCell ref="K46:K47"/>
    <mergeCell ref="M46:M47"/>
    <mergeCell ref="I3:M3"/>
    <mergeCell ref="J52:J53"/>
    <mergeCell ref="K52:K53"/>
    <mergeCell ref="L52:L53"/>
    <mergeCell ref="M52:M53"/>
    <mergeCell ref="K20:K21"/>
    <mergeCell ref="J20:J21"/>
    <mergeCell ref="M16:M17"/>
    <mergeCell ref="K16:K17"/>
    <mergeCell ref="K40:K41"/>
    <mergeCell ref="K8:K9"/>
    <mergeCell ref="J8:J9"/>
    <mergeCell ref="M14:M15"/>
    <mergeCell ref="L14:L15"/>
    <mergeCell ref="K14:K15"/>
    <mergeCell ref="J14:J15"/>
    <mergeCell ref="M10:M11"/>
    <mergeCell ref="K10:K11"/>
    <mergeCell ref="J58:J59"/>
    <mergeCell ref="K58:K59"/>
    <mergeCell ref="L58:L59"/>
    <mergeCell ref="M58:M59"/>
    <mergeCell ref="K60:K61"/>
    <mergeCell ref="M60:M61"/>
    <mergeCell ref="J64:J65"/>
    <mergeCell ref="K64:K65"/>
    <mergeCell ref="L64:L65"/>
    <mergeCell ref="M64:M65"/>
    <mergeCell ref="K66:K67"/>
    <mergeCell ref="M66:M67"/>
    <mergeCell ref="J70:J71"/>
    <mergeCell ref="K70:K71"/>
    <mergeCell ref="L70:L71"/>
    <mergeCell ref="M70:M71"/>
    <mergeCell ref="K72:K73"/>
    <mergeCell ref="M72:M73"/>
    <mergeCell ref="J76:J77"/>
    <mergeCell ref="K76:K77"/>
    <mergeCell ref="L76:L77"/>
    <mergeCell ref="M76:M77"/>
    <mergeCell ref="K104:K105"/>
    <mergeCell ref="M104:M105"/>
    <mergeCell ref="K90:K91"/>
    <mergeCell ref="M90:M91"/>
    <mergeCell ref="J96:J97"/>
    <mergeCell ref="K96:K97"/>
    <mergeCell ref="L96:L97"/>
    <mergeCell ref="M96:M97"/>
    <mergeCell ref="K98:K99"/>
    <mergeCell ref="M98:M99"/>
    <mergeCell ref="J102:J103"/>
    <mergeCell ref="K102:K103"/>
    <mergeCell ref="L102:L103"/>
    <mergeCell ref="M102:M103"/>
    <mergeCell ref="K78:K79"/>
    <mergeCell ref="M78:M79"/>
    <mergeCell ref="J82:J83"/>
    <mergeCell ref="K82:K83"/>
    <mergeCell ref="L82:L83"/>
    <mergeCell ref="M82:M83"/>
    <mergeCell ref="K84:K85"/>
    <mergeCell ref="M84:M85"/>
    <mergeCell ref="J88:J89"/>
    <mergeCell ref="K88:K89"/>
    <mergeCell ref="L88:L89"/>
    <mergeCell ref="M88:M89"/>
    <mergeCell ref="N32:N33"/>
    <mergeCell ref="N34:N35"/>
    <mergeCell ref="N38:N39"/>
    <mergeCell ref="N40:N41"/>
    <mergeCell ref="N44:N45"/>
    <mergeCell ref="N46:N47"/>
    <mergeCell ref="N104:N105"/>
    <mergeCell ref="N52:N53"/>
    <mergeCell ref="N54:N55"/>
    <mergeCell ref="N58:N59"/>
    <mergeCell ref="N60:N61"/>
    <mergeCell ref="N64:N65"/>
    <mergeCell ref="N66:N67"/>
    <mergeCell ref="N70:N71"/>
    <mergeCell ref="N72:N73"/>
    <mergeCell ref="N76:N77"/>
    <mergeCell ref="N102:N103"/>
    <mergeCell ref="N20:N21"/>
    <mergeCell ref="L1:L2"/>
    <mergeCell ref="N78:N79"/>
    <mergeCell ref="N82:N83"/>
    <mergeCell ref="N84:N85"/>
    <mergeCell ref="N88:N89"/>
    <mergeCell ref="N90:N91"/>
    <mergeCell ref="N96:N97"/>
    <mergeCell ref="N98:N99"/>
    <mergeCell ref="M20:M21"/>
    <mergeCell ref="L20:L21"/>
    <mergeCell ref="L38:L39"/>
    <mergeCell ref="M38:M39"/>
    <mergeCell ref="N8:N9"/>
    <mergeCell ref="N10:N11"/>
    <mergeCell ref="N14:N15"/>
    <mergeCell ref="N16:N17"/>
    <mergeCell ref="M8:M9"/>
    <mergeCell ref="L8:L9"/>
    <mergeCell ref="M54:M55"/>
    <mergeCell ref="M40:M41"/>
    <mergeCell ref="N22:N23"/>
    <mergeCell ref="N26:N27"/>
    <mergeCell ref="N28:N29"/>
  </mergeCells>
  <phoneticPr fontId="8" type="noConversion"/>
  <conditionalFormatting sqref="J10:J11">
    <cfRule type="cellIs" dxfId="129" priority="652" operator="greaterThanOrEqual">
      <formula>$J$6/100</formula>
    </cfRule>
    <cfRule type="cellIs" dxfId="128" priority="651" operator="lessThan">
      <formula>$J$6/100</formula>
    </cfRule>
  </conditionalFormatting>
  <conditionalFormatting sqref="L10:L11">
    <cfRule type="cellIs" dxfId="127" priority="401" operator="lessThan">
      <formula>$J$6/100</formula>
    </cfRule>
    <cfRule type="cellIs" dxfId="126" priority="402" operator="greaterThanOrEqual">
      <formula>$J$6/100</formula>
    </cfRule>
  </conditionalFormatting>
  <conditionalFormatting sqref="M2:N2">
    <cfRule type="cellIs" dxfId="125" priority="463" operator="lessThan">
      <formula>0.0005</formula>
    </cfRule>
    <cfRule type="cellIs" dxfId="124" priority="464" operator="greaterThanOrEqual">
      <formula>0.0005</formula>
    </cfRule>
  </conditionalFormatting>
  <conditionalFormatting sqref="K10">
    <cfRule type="cellIs" dxfId="123" priority="123" operator="lessThan">
      <formula>$J$6/100</formula>
    </cfRule>
    <cfRule type="cellIs" dxfId="122" priority="124" operator="greaterThanOrEqual">
      <formula>$J$6/100</formula>
    </cfRule>
  </conditionalFormatting>
  <conditionalFormatting sqref="M10">
    <cfRule type="cellIs" dxfId="121" priority="121" operator="lessThan">
      <formula>$J$6/100</formula>
    </cfRule>
    <cfRule type="cellIs" dxfId="120" priority="122" operator="greaterThanOrEqual">
      <formula>$J$6/100</formula>
    </cfRule>
  </conditionalFormatting>
  <conditionalFormatting sqref="J16:J17">
    <cfRule type="cellIs" dxfId="119" priority="119" operator="lessThan">
      <formula>$J$6/100</formula>
    </cfRule>
    <cfRule type="cellIs" dxfId="118" priority="120" operator="greaterThanOrEqual">
      <formula>$J$6/100</formula>
    </cfRule>
  </conditionalFormatting>
  <conditionalFormatting sqref="L16:L17">
    <cfRule type="cellIs" dxfId="117" priority="117" operator="lessThan">
      <formula>$J$6/100</formula>
    </cfRule>
    <cfRule type="cellIs" dxfId="116" priority="118" operator="greaterThanOrEqual">
      <formula>$J$6/100</formula>
    </cfRule>
  </conditionalFormatting>
  <conditionalFormatting sqref="K16">
    <cfRule type="cellIs" dxfId="115" priority="115" operator="lessThan">
      <formula>$J$6/100</formula>
    </cfRule>
    <cfRule type="cellIs" dxfId="114" priority="116" operator="greaterThanOrEqual">
      <formula>$J$6/100</formula>
    </cfRule>
  </conditionalFormatting>
  <conditionalFormatting sqref="M16">
    <cfRule type="cellIs" dxfId="113" priority="113" operator="lessThan">
      <formula>$J$6/100</formula>
    </cfRule>
    <cfRule type="cellIs" dxfId="112" priority="114" operator="greaterThanOrEqual">
      <formula>$J$6/100</formula>
    </cfRule>
  </conditionalFormatting>
  <conditionalFormatting sqref="J22:J23">
    <cfRule type="cellIs" dxfId="111" priority="111" operator="lessThan">
      <formula>$J$6/100</formula>
    </cfRule>
    <cfRule type="cellIs" dxfId="110" priority="112" operator="greaterThanOrEqual">
      <formula>$J$6/100</formula>
    </cfRule>
  </conditionalFormatting>
  <conditionalFormatting sqref="L22:L23">
    <cfRule type="cellIs" dxfId="109" priority="109" operator="lessThan">
      <formula>$J$6/100</formula>
    </cfRule>
    <cfRule type="cellIs" dxfId="108" priority="110" operator="greaterThanOrEqual">
      <formula>$J$6/100</formula>
    </cfRule>
  </conditionalFormatting>
  <conditionalFormatting sqref="K22">
    <cfRule type="cellIs" dxfId="107" priority="107" operator="lessThan">
      <formula>$J$6/100</formula>
    </cfRule>
    <cfRule type="cellIs" dxfId="106" priority="108" operator="greaterThanOrEqual">
      <formula>$J$6/100</formula>
    </cfRule>
  </conditionalFormatting>
  <conditionalFormatting sqref="M22">
    <cfRule type="cellIs" dxfId="105" priority="105" operator="lessThan">
      <formula>$J$6/100</formula>
    </cfRule>
    <cfRule type="cellIs" dxfId="104" priority="106" operator="greaterThanOrEqual">
      <formula>$J$6/100</formula>
    </cfRule>
  </conditionalFormatting>
  <conditionalFormatting sqref="J28:J29">
    <cfRule type="cellIs" dxfId="103" priority="103" operator="lessThan">
      <formula>$J$6/100</formula>
    </cfRule>
    <cfRule type="cellIs" dxfId="102" priority="104" operator="greaterThanOrEqual">
      <formula>$J$6/100</formula>
    </cfRule>
  </conditionalFormatting>
  <conditionalFormatting sqref="L28:L29">
    <cfRule type="cellIs" dxfId="101" priority="101" operator="lessThan">
      <formula>$J$6/100</formula>
    </cfRule>
    <cfRule type="cellIs" dxfId="100" priority="102" operator="greaterThanOrEqual">
      <formula>$J$6/100</formula>
    </cfRule>
  </conditionalFormatting>
  <conditionalFormatting sqref="K28">
    <cfRule type="cellIs" dxfId="99" priority="99" operator="lessThan">
      <formula>$J$6/100</formula>
    </cfRule>
    <cfRule type="cellIs" dxfId="98" priority="100" operator="greaterThanOrEqual">
      <formula>$J$6/100</formula>
    </cfRule>
  </conditionalFormatting>
  <conditionalFormatting sqref="M28">
    <cfRule type="cellIs" dxfId="97" priority="97" operator="lessThan">
      <formula>$J$6/100</formula>
    </cfRule>
    <cfRule type="cellIs" dxfId="96" priority="98" operator="greaterThanOrEqual">
      <formula>$J$6/100</formula>
    </cfRule>
  </conditionalFormatting>
  <conditionalFormatting sqref="J34:J35">
    <cfRule type="cellIs" dxfId="95" priority="95" operator="lessThan">
      <formula>$J$6/100</formula>
    </cfRule>
    <cfRule type="cellIs" dxfId="94" priority="96" operator="greaterThanOrEqual">
      <formula>$J$6/100</formula>
    </cfRule>
  </conditionalFormatting>
  <conditionalFormatting sqref="L34:L35">
    <cfRule type="cellIs" dxfId="93" priority="93" operator="lessThan">
      <formula>$J$6/100</formula>
    </cfRule>
    <cfRule type="cellIs" dxfId="92" priority="94" operator="greaterThanOrEqual">
      <formula>$J$6/100</formula>
    </cfRule>
  </conditionalFormatting>
  <conditionalFormatting sqref="K34">
    <cfRule type="cellIs" dxfId="91" priority="91" operator="lessThan">
      <formula>$J$6/100</formula>
    </cfRule>
    <cfRule type="cellIs" dxfId="90" priority="92" operator="greaterThanOrEqual">
      <formula>$J$6/100</formula>
    </cfRule>
  </conditionalFormatting>
  <conditionalFormatting sqref="M34">
    <cfRule type="cellIs" dxfId="89" priority="89" operator="lessThan">
      <formula>$J$6/100</formula>
    </cfRule>
    <cfRule type="cellIs" dxfId="88" priority="90" operator="greaterThanOrEqual">
      <formula>$J$6/100</formula>
    </cfRule>
  </conditionalFormatting>
  <conditionalFormatting sqref="J40:J41">
    <cfRule type="cellIs" dxfId="87" priority="87" operator="lessThan">
      <formula>$J$6/100</formula>
    </cfRule>
    <cfRule type="cellIs" dxfId="86" priority="88" operator="greaterThanOrEqual">
      <formula>$J$6/100</formula>
    </cfRule>
  </conditionalFormatting>
  <conditionalFormatting sqref="L40:L41">
    <cfRule type="cellIs" dxfId="85" priority="85" operator="lessThan">
      <formula>$J$6/100</formula>
    </cfRule>
    <cfRule type="cellIs" dxfId="84" priority="86" operator="greaterThanOrEqual">
      <formula>$J$6/100</formula>
    </cfRule>
  </conditionalFormatting>
  <conditionalFormatting sqref="K40">
    <cfRule type="cellIs" dxfId="83" priority="83" operator="lessThan">
      <formula>$J$6/100</formula>
    </cfRule>
    <cfRule type="cellIs" dxfId="82" priority="84" operator="greaterThanOrEqual">
      <formula>$J$6/100</formula>
    </cfRule>
  </conditionalFormatting>
  <conditionalFormatting sqref="M40">
    <cfRule type="cellIs" dxfId="81" priority="81" operator="lessThan">
      <formula>$J$6/100</formula>
    </cfRule>
    <cfRule type="cellIs" dxfId="80" priority="82" operator="greaterThanOrEqual">
      <formula>$J$6/100</formula>
    </cfRule>
  </conditionalFormatting>
  <conditionalFormatting sqref="J46:J47">
    <cfRule type="cellIs" dxfId="79" priority="79" operator="lessThan">
      <formula>$J$6/100</formula>
    </cfRule>
    <cfRule type="cellIs" dxfId="78" priority="80" operator="greaterThanOrEqual">
      <formula>$J$6/100</formula>
    </cfRule>
  </conditionalFormatting>
  <conditionalFormatting sqref="L46:L47">
    <cfRule type="cellIs" dxfId="77" priority="77" operator="lessThan">
      <formula>$J$6/100</formula>
    </cfRule>
    <cfRule type="cellIs" dxfId="76" priority="78" operator="greaterThanOrEqual">
      <formula>$J$6/100</formula>
    </cfRule>
  </conditionalFormatting>
  <conditionalFormatting sqref="K46">
    <cfRule type="cellIs" dxfId="75" priority="75" operator="lessThan">
      <formula>$J$6/100</formula>
    </cfRule>
    <cfRule type="cellIs" dxfId="74" priority="76" operator="greaterThanOrEqual">
      <formula>$J$6/100</formula>
    </cfRule>
  </conditionalFormatting>
  <conditionalFormatting sqref="M46">
    <cfRule type="cellIs" dxfId="73" priority="73" operator="lessThan">
      <formula>$J$6/100</formula>
    </cfRule>
    <cfRule type="cellIs" dxfId="72" priority="74" operator="greaterThanOrEqual">
      <formula>$J$6/100</formula>
    </cfRule>
  </conditionalFormatting>
  <conditionalFormatting sqref="J54:J55">
    <cfRule type="cellIs" dxfId="71" priority="71" operator="lessThan">
      <formula>$J$6/100</formula>
    </cfRule>
    <cfRule type="cellIs" dxfId="70" priority="72" operator="greaterThanOrEqual">
      <formula>$J$6/100</formula>
    </cfRule>
  </conditionalFormatting>
  <conditionalFormatting sqref="L54:L55">
    <cfRule type="cellIs" dxfId="69" priority="69" operator="lessThan">
      <formula>$J$6/100</formula>
    </cfRule>
    <cfRule type="cellIs" dxfId="68" priority="70" operator="greaterThanOrEqual">
      <formula>$J$6/100</formula>
    </cfRule>
  </conditionalFormatting>
  <conditionalFormatting sqref="K54">
    <cfRule type="cellIs" dxfId="67" priority="67" operator="lessThan">
      <formula>$J$6/100</formula>
    </cfRule>
    <cfRule type="cellIs" dxfId="66" priority="68" operator="greaterThanOrEqual">
      <formula>$J$6/100</formula>
    </cfRule>
  </conditionalFormatting>
  <conditionalFormatting sqref="M54">
    <cfRule type="cellIs" dxfId="65" priority="65" operator="lessThan">
      <formula>$J$6/100</formula>
    </cfRule>
    <cfRule type="cellIs" dxfId="64" priority="66" operator="greaterThanOrEqual">
      <formula>$J$6/100</formula>
    </cfRule>
  </conditionalFormatting>
  <conditionalFormatting sqref="J60:J61">
    <cfRule type="cellIs" dxfId="63" priority="63" operator="lessThan">
      <formula>$J$6/100</formula>
    </cfRule>
    <cfRule type="cellIs" dxfId="62" priority="64" operator="greaterThanOrEqual">
      <formula>$J$6/100</formula>
    </cfRule>
  </conditionalFormatting>
  <conditionalFormatting sqref="L60:L61">
    <cfRule type="cellIs" dxfId="61" priority="61" operator="lessThan">
      <formula>$J$6/100</formula>
    </cfRule>
    <cfRule type="cellIs" dxfId="60" priority="62" operator="greaterThanOrEqual">
      <formula>$J$6/100</formula>
    </cfRule>
  </conditionalFormatting>
  <conditionalFormatting sqref="K60">
    <cfRule type="cellIs" dxfId="59" priority="59" operator="lessThan">
      <formula>$J$6/100</formula>
    </cfRule>
    <cfRule type="cellIs" dxfId="58" priority="60" operator="greaterThanOrEqual">
      <formula>$J$6/100</formula>
    </cfRule>
  </conditionalFormatting>
  <conditionalFormatting sqref="M60">
    <cfRule type="cellIs" dxfId="57" priority="57" operator="lessThan">
      <formula>$J$6/100</formula>
    </cfRule>
    <cfRule type="cellIs" dxfId="56" priority="58" operator="greaterThanOrEqual">
      <formula>$J$6/100</formula>
    </cfRule>
  </conditionalFormatting>
  <conditionalFormatting sqref="J66:J67">
    <cfRule type="cellIs" dxfId="55" priority="55" operator="lessThan">
      <formula>$J$6/100</formula>
    </cfRule>
    <cfRule type="cellIs" dxfId="54" priority="56" operator="greaterThanOrEqual">
      <formula>$J$6/100</formula>
    </cfRule>
  </conditionalFormatting>
  <conditionalFormatting sqref="L66:L67">
    <cfRule type="cellIs" dxfId="53" priority="53" operator="lessThan">
      <formula>$J$6/100</formula>
    </cfRule>
    <cfRule type="cellIs" dxfId="52" priority="54" operator="greaterThanOrEqual">
      <formula>$J$6/100</formula>
    </cfRule>
  </conditionalFormatting>
  <conditionalFormatting sqref="K66">
    <cfRule type="cellIs" dxfId="51" priority="51" operator="lessThan">
      <formula>$J$6/100</formula>
    </cfRule>
    <cfRule type="cellIs" dxfId="50" priority="52" operator="greaterThanOrEqual">
      <formula>$J$6/100</formula>
    </cfRule>
  </conditionalFormatting>
  <conditionalFormatting sqref="M66">
    <cfRule type="cellIs" dxfId="49" priority="49" operator="lessThan">
      <formula>$J$6/100</formula>
    </cfRule>
    <cfRule type="cellIs" dxfId="48" priority="50" operator="greaterThanOrEqual">
      <formula>$J$6/100</formula>
    </cfRule>
  </conditionalFormatting>
  <conditionalFormatting sqref="J72:J73">
    <cfRule type="cellIs" dxfId="47" priority="47" operator="lessThan">
      <formula>$J$6/100</formula>
    </cfRule>
    <cfRule type="cellIs" dxfId="46" priority="48" operator="greaterThanOrEqual">
      <formula>$J$6/100</formula>
    </cfRule>
  </conditionalFormatting>
  <conditionalFormatting sqref="L72:L73">
    <cfRule type="cellIs" dxfId="45" priority="45" operator="lessThan">
      <formula>$J$6/100</formula>
    </cfRule>
    <cfRule type="cellIs" dxfId="44" priority="46" operator="greaterThanOrEqual">
      <formula>$J$6/100</formula>
    </cfRule>
  </conditionalFormatting>
  <conditionalFormatting sqref="K72">
    <cfRule type="cellIs" dxfId="43" priority="43" operator="lessThan">
      <formula>$J$6/100</formula>
    </cfRule>
    <cfRule type="cellIs" dxfId="42" priority="44" operator="greaterThanOrEqual">
      <formula>$J$6/100</formula>
    </cfRule>
  </conditionalFormatting>
  <conditionalFormatting sqref="M72">
    <cfRule type="cellIs" dxfId="41" priority="41" operator="lessThan">
      <formula>$J$6/100</formula>
    </cfRule>
    <cfRule type="cellIs" dxfId="40" priority="42" operator="greaterThanOrEqual">
      <formula>$J$6/100</formula>
    </cfRule>
  </conditionalFormatting>
  <conditionalFormatting sqref="J78:J79">
    <cfRule type="cellIs" dxfId="39" priority="39" operator="lessThan">
      <formula>$J$6/100</formula>
    </cfRule>
    <cfRule type="cellIs" dxfId="38" priority="40" operator="greaterThanOrEqual">
      <formula>$J$6/100</formula>
    </cfRule>
  </conditionalFormatting>
  <conditionalFormatting sqref="L78:L79">
    <cfRule type="cellIs" dxfId="37" priority="37" operator="lessThan">
      <formula>$J$6/100</formula>
    </cfRule>
    <cfRule type="cellIs" dxfId="36" priority="38" operator="greaterThanOrEqual">
      <formula>$J$6/100</formula>
    </cfRule>
  </conditionalFormatting>
  <conditionalFormatting sqref="K78">
    <cfRule type="cellIs" dxfId="35" priority="35" operator="lessThan">
      <formula>$J$6/100</formula>
    </cfRule>
    <cfRule type="cellIs" dxfId="34" priority="36" operator="greaterThanOrEqual">
      <formula>$J$6/100</formula>
    </cfRule>
  </conditionalFormatting>
  <conditionalFormatting sqref="M78">
    <cfRule type="cellIs" dxfId="33" priority="33" operator="lessThan">
      <formula>$J$6/100</formula>
    </cfRule>
    <cfRule type="cellIs" dxfId="32" priority="34" operator="greaterThanOrEqual">
      <formula>$J$6/100</formula>
    </cfRule>
  </conditionalFormatting>
  <conditionalFormatting sqref="J84:J85">
    <cfRule type="cellIs" dxfId="31" priority="31" operator="lessThan">
      <formula>$J$6/100</formula>
    </cfRule>
    <cfRule type="cellIs" dxfId="30" priority="32" operator="greaterThanOrEqual">
      <formula>$J$6/100</formula>
    </cfRule>
  </conditionalFormatting>
  <conditionalFormatting sqref="L84:L85">
    <cfRule type="cellIs" dxfId="29" priority="29" operator="lessThan">
      <formula>$J$6/100</formula>
    </cfRule>
    <cfRule type="cellIs" dxfId="28" priority="30" operator="greaterThanOrEqual">
      <formula>$J$6/100</formula>
    </cfRule>
  </conditionalFormatting>
  <conditionalFormatting sqref="K84">
    <cfRule type="cellIs" dxfId="27" priority="27" operator="lessThan">
      <formula>$J$6/100</formula>
    </cfRule>
    <cfRule type="cellIs" dxfId="26" priority="28" operator="greaterThanOrEqual">
      <formula>$J$6/100</formula>
    </cfRule>
  </conditionalFormatting>
  <conditionalFormatting sqref="M84">
    <cfRule type="cellIs" dxfId="25" priority="25" operator="lessThan">
      <formula>$J$6/100</formula>
    </cfRule>
    <cfRule type="cellIs" dxfId="24" priority="26" operator="greaterThanOrEqual">
      <formula>$J$6/100</formula>
    </cfRule>
  </conditionalFormatting>
  <conditionalFormatting sqref="J90:J91">
    <cfRule type="cellIs" dxfId="23" priority="23" operator="lessThan">
      <formula>$J$6/100</formula>
    </cfRule>
    <cfRule type="cellIs" dxfId="22" priority="24" operator="greaterThanOrEqual">
      <formula>$J$6/100</formula>
    </cfRule>
  </conditionalFormatting>
  <conditionalFormatting sqref="L90:L91">
    <cfRule type="cellIs" dxfId="21" priority="21" operator="lessThan">
      <formula>$J$6/100</formula>
    </cfRule>
    <cfRule type="cellIs" dxfId="20" priority="22" operator="greaterThanOrEqual">
      <formula>$J$6/100</formula>
    </cfRule>
  </conditionalFormatting>
  <conditionalFormatting sqref="K90">
    <cfRule type="cellIs" dxfId="19" priority="19" operator="lessThan">
      <formula>$J$6/100</formula>
    </cfRule>
    <cfRule type="cellIs" dxfId="18" priority="20" operator="greaterThanOrEqual">
      <formula>$J$6/100</formula>
    </cfRule>
  </conditionalFormatting>
  <conditionalFormatting sqref="M90">
    <cfRule type="cellIs" dxfId="17" priority="17" operator="lessThan">
      <formula>$J$6/100</formula>
    </cfRule>
    <cfRule type="cellIs" dxfId="16" priority="18" operator="greaterThanOrEqual">
      <formula>$J$6/100</formula>
    </cfRule>
  </conditionalFormatting>
  <conditionalFormatting sqref="J98:J99">
    <cfRule type="cellIs" dxfId="15" priority="15" operator="lessThan">
      <formula>$J$6/100</formula>
    </cfRule>
    <cfRule type="cellIs" dxfId="14" priority="16" operator="greaterThanOrEqual">
      <formula>$J$6/100</formula>
    </cfRule>
  </conditionalFormatting>
  <conditionalFormatting sqref="L98:L99">
    <cfRule type="cellIs" dxfId="13" priority="13" operator="lessThan">
      <formula>$J$6/100</formula>
    </cfRule>
    <cfRule type="cellIs" dxfId="12" priority="14" operator="greaterThanOrEqual">
      <formula>$J$6/100</formula>
    </cfRule>
  </conditionalFormatting>
  <conditionalFormatting sqref="K98">
    <cfRule type="cellIs" dxfId="11" priority="11" operator="lessThan">
      <formula>$J$6/100</formula>
    </cfRule>
    <cfRule type="cellIs" dxfId="10" priority="12" operator="greaterThanOrEqual">
      <formula>$J$6/100</formula>
    </cfRule>
  </conditionalFormatting>
  <conditionalFormatting sqref="M98">
    <cfRule type="cellIs" dxfId="9" priority="9" operator="lessThan">
      <formula>$J$6/100</formula>
    </cfRule>
    <cfRule type="cellIs" dxfId="8" priority="10" operator="greaterThanOrEqual">
      <formula>$J$6/100</formula>
    </cfRule>
  </conditionalFormatting>
  <conditionalFormatting sqref="J104:J105">
    <cfRule type="cellIs" dxfId="7" priority="7" operator="lessThan">
      <formula>$J$6/100</formula>
    </cfRule>
    <cfRule type="cellIs" dxfId="6" priority="8" operator="greaterThanOrEqual">
      <formula>$J$6/100</formula>
    </cfRule>
  </conditionalFormatting>
  <conditionalFormatting sqref="L104:L105">
    <cfRule type="cellIs" dxfId="5" priority="5" operator="lessThan">
      <formula>$J$6/100</formula>
    </cfRule>
    <cfRule type="cellIs" dxfId="4" priority="6" operator="greaterThanOrEqual">
      <formula>$J$6/100</formula>
    </cfRule>
  </conditionalFormatting>
  <conditionalFormatting sqref="K104">
    <cfRule type="cellIs" dxfId="3" priority="3" operator="lessThan">
      <formula>$J$6/100</formula>
    </cfRule>
    <cfRule type="cellIs" dxfId="2" priority="4" operator="greaterThanOrEqual">
      <formula>$J$6/100</formula>
    </cfRule>
  </conditionalFormatting>
  <conditionalFormatting sqref="M104">
    <cfRule type="cellIs" dxfId="1" priority="1" operator="lessThan">
      <formula>$J$6/100</formula>
    </cfRule>
    <cfRule type="cellIs" dxfId="0" priority="2" operator="greaterThanOrEqual">
      <formula>$J$6/100</formula>
    </cfRule>
  </conditionalFormatting>
  <pageMargins left="0.74803149606299213" right="0.74803149606299213" top="0.51181102362204722" bottom="0.74803149606299213" header="0.51181102362204722" footer="0.51181102362204722"/>
  <pageSetup paperSize="9" firstPageNumber="6" orientation="portrait" r:id="rId1"/>
  <headerFooter>
    <oddFooter>第 &amp;P 页，共 &amp;N 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22</vt:i4>
      </vt:variant>
    </vt:vector>
  </HeadingPairs>
  <TitlesOfParts>
    <vt:vector size="23" baseType="lpstr">
      <vt:lpstr>校准结果</vt:lpstr>
      <vt:lpstr>校准结果!Print_Titles</vt:lpstr>
      <vt:lpstr>单位</vt:lpstr>
      <vt:lpstr>量程最大值</vt:lpstr>
      <vt:lpstr>量程最小值</vt:lpstr>
      <vt:lpstr>通道1</vt:lpstr>
      <vt:lpstr>通道10</vt:lpstr>
      <vt:lpstr>通道11</vt:lpstr>
      <vt:lpstr>通道12</vt:lpstr>
      <vt:lpstr>通道13</vt:lpstr>
      <vt:lpstr>通道14</vt:lpstr>
      <vt:lpstr>通道15</vt:lpstr>
      <vt:lpstr>通道16</vt:lpstr>
      <vt:lpstr>通道2</vt:lpstr>
      <vt:lpstr>通道3</vt:lpstr>
      <vt:lpstr>通道4</vt:lpstr>
      <vt:lpstr>通道5</vt:lpstr>
      <vt:lpstr>通道6</vt:lpstr>
      <vt:lpstr>通道7</vt:lpstr>
      <vt:lpstr>通道8</vt:lpstr>
      <vt:lpstr>通道9</vt:lpstr>
      <vt:lpstr>校准日期</vt:lpstr>
      <vt:lpstr>准确度等级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WTN</dc:creator>
  <cp:lastModifiedBy>Administrator</cp:lastModifiedBy>
  <cp:lastPrinted>2024-04-23T07:14:43Z</cp:lastPrinted>
  <dcterms:created xsi:type="dcterms:W3CDTF">2022-12-06T12:02:00Z</dcterms:created>
  <dcterms:modified xsi:type="dcterms:W3CDTF">2024-05-23T08:07:40Z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