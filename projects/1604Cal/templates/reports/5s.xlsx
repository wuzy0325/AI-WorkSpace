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120" yWindow="-120" windowWidth="29040" windowHeight="16440"/>
  </bookViews>
  <sheets>
    <sheet name="Calibration result" sheetId="16" r:id="rId1"/>
  </sheets>
  <definedNames>
    <definedName name="_xlnm.Print_Titles" localSheetId="0">'Calibration result'!$1:$4</definedName>
    <definedName name="单位">'Calibration result'!$K$5</definedName>
    <definedName name="量程最大值">'Calibration result'!$K$6</definedName>
    <definedName name="量程最小值">'Calibration result'!$I$6</definedName>
    <definedName name="通道1">'Calibration result'!$A$10</definedName>
    <definedName name="通道10">'Calibration result'!$A$92</definedName>
    <definedName name="通道11">'Calibration result'!$A$102</definedName>
    <definedName name="通道12">'Calibration result'!$A$111</definedName>
    <definedName name="通道13">'Calibration result'!$A$120</definedName>
    <definedName name="通道14">'Calibration result'!$A$129</definedName>
    <definedName name="通道15">'Calibration result'!$A$138</definedName>
    <definedName name="通道16">'Calibration result'!$A$148</definedName>
    <definedName name="通道2">'Calibration result'!$A$19</definedName>
    <definedName name="通道3">'Calibration result'!$A$28</definedName>
    <definedName name="通道4">'Calibration result'!$A$37</definedName>
    <definedName name="通道5">'Calibration result'!$A$46</definedName>
    <definedName name="通道6">'Calibration result'!$A$56</definedName>
    <definedName name="通道7">'Calibration result'!$A$65</definedName>
    <definedName name="通道8">'Calibration result'!$A$74</definedName>
    <definedName name="通道9">'Calibration result'!$A$83</definedName>
    <definedName name="校准日期">'Calibration result'!$I$5</definedName>
    <definedName name="准确度等级">'Calibration result'!$G$6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2" i="16" l="1"/>
  <c r="F151" i="16"/>
  <c r="F150" i="16"/>
  <c r="F149" i="16"/>
  <c r="F148" i="16"/>
  <c r="F147" i="16"/>
  <c r="G145" i="16"/>
  <c r="F142" i="16"/>
  <c r="F141" i="16"/>
  <c r="F140" i="16"/>
  <c r="F139" i="16"/>
  <c r="F138" i="16"/>
  <c r="F137" i="16"/>
  <c r="G135" i="16"/>
  <c r="F133" i="16"/>
  <c r="F132" i="16"/>
  <c r="F131" i="16"/>
  <c r="F130" i="16"/>
  <c r="F129" i="16"/>
  <c r="F128" i="16"/>
  <c r="G126" i="16"/>
  <c r="F124" i="16"/>
  <c r="F123" i="16"/>
  <c r="F122" i="16"/>
  <c r="F121" i="16"/>
  <c r="F120" i="16"/>
  <c r="F119" i="16"/>
  <c r="G117" i="16"/>
  <c r="F115" i="16"/>
  <c r="F114" i="16"/>
  <c r="F113" i="16"/>
  <c r="F112" i="16"/>
  <c r="F111" i="16"/>
  <c r="F110" i="16"/>
  <c r="G108" i="16"/>
  <c r="F106" i="16"/>
  <c r="F105" i="16"/>
  <c r="F104" i="16"/>
  <c r="F103" i="16"/>
  <c r="F102" i="16"/>
  <c r="F101" i="16"/>
  <c r="G99" i="16"/>
  <c r="F96" i="16"/>
  <c r="F95" i="16"/>
  <c r="F94" i="16"/>
  <c r="F93" i="16"/>
  <c r="F92" i="16"/>
  <c r="F91" i="16"/>
  <c r="G89" i="16"/>
  <c r="F87" i="16"/>
  <c r="F86" i="16"/>
  <c r="F85" i="16"/>
  <c r="F84" i="16"/>
  <c r="F83" i="16"/>
  <c r="F82" i="16"/>
  <c r="G80" i="16"/>
  <c r="F78" i="16"/>
  <c r="F77" i="16"/>
  <c r="F76" i="16"/>
  <c r="F75" i="16"/>
  <c r="F74" i="16"/>
  <c r="F73" i="16"/>
  <c r="G71" i="16"/>
  <c r="F69" i="16"/>
  <c r="F68" i="16"/>
  <c r="F67" i="16"/>
  <c r="F66" i="16"/>
  <c r="F65" i="16"/>
  <c r="F64" i="16"/>
  <c r="G62" i="16"/>
  <c r="F60" i="16"/>
  <c r="F59" i="16"/>
  <c r="F58" i="16"/>
  <c r="F57" i="16"/>
  <c r="F56" i="16"/>
  <c r="F55" i="16"/>
  <c r="G53" i="16"/>
  <c r="F50" i="16"/>
  <c r="F49" i="16"/>
  <c r="F48" i="16"/>
  <c r="F47" i="16"/>
  <c r="F46" i="16"/>
  <c r="F45" i="16"/>
  <c r="G43" i="16"/>
  <c r="F41" i="16"/>
  <c r="F40" i="16"/>
  <c r="F39" i="16"/>
  <c r="F38" i="16"/>
  <c r="F37" i="16"/>
  <c r="F36" i="16"/>
  <c r="G34" i="16"/>
  <c r="F32" i="16"/>
  <c r="F31" i="16"/>
  <c r="F30" i="16"/>
  <c r="F29" i="16"/>
  <c r="F28" i="16"/>
  <c r="F27" i="16"/>
  <c r="G25" i="16"/>
  <c r="F23" i="16"/>
  <c r="F22" i="16"/>
  <c r="F21" i="16"/>
  <c r="F20" i="16"/>
  <c r="F19" i="16"/>
  <c r="F18" i="16"/>
  <c r="G16" i="16"/>
  <c r="D145" i="16"/>
  <c r="D135" i="16"/>
  <c r="D126" i="16"/>
  <c r="D117" i="16"/>
  <c r="D108" i="16"/>
  <c r="D99" i="16"/>
  <c r="D89" i="16"/>
  <c r="D80" i="16"/>
  <c r="D71" i="16"/>
  <c r="D62" i="16"/>
  <c r="D53" i="16"/>
  <c r="D43" i="16"/>
  <c r="D34" i="16"/>
  <c r="D25" i="16"/>
  <c r="D16" i="16"/>
  <c r="D7" i="16"/>
  <c r="C152" i="16" l="1"/>
  <c r="G152" i="16" s="1"/>
  <c r="C151" i="16"/>
  <c r="G151" i="16" s="1"/>
  <c r="C150" i="16"/>
  <c r="G150" i="16" s="1"/>
  <c r="C149" i="16"/>
  <c r="G149" i="16" s="1"/>
  <c r="C148" i="16"/>
  <c r="G148" i="16" s="1"/>
  <c r="C142" i="16"/>
  <c r="G142" i="16" s="1"/>
  <c r="C141" i="16"/>
  <c r="G141" i="16" s="1"/>
  <c r="C140" i="16"/>
  <c r="G140" i="16" s="1"/>
  <c r="C139" i="16"/>
  <c r="G139" i="16" s="1"/>
  <c r="C138" i="16"/>
  <c r="G138" i="16" s="1"/>
  <c r="H138" i="16" s="1"/>
  <c r="C133" i="16"/>
  <c r="G133" i="16" s="1"/>
  <c r="C132" i="16"/>
  <c r="G132" i="16" s="1"/>
  <c r="C131" i="16"/>
  <c r="G131" i="16" s="1"/>
  <c r="C130" i="16"/>
  <c r="G130" i="16" s="1"/>
  <c r="C129" i="16"/>
  <c r="G129" i="16" s="1"/>
  <c r="C124" i="16"/>
  <c r="G124" i="16" s="1"/>
  <c r="C123" i="16"/>
  <c r="G123" i="16" s="1"/>
  <c r="C122" i="16"/>
  <c r="G122" i="16" s="1"/>
  <c r="C121" i="16"/>
  <c r="G121" i="16" s="1"/>
  <c r="C120" i="16"/>
  <c r="G120" i="16" s="1"/>
  <c r="C115" i="16"/>
  <c r="G115" i="16" s="1"/>
  <c r="C114" i="16"/>
  <c r="G114" i="16" s="1"/>
  <c r="C113" i="16"/>
  <c r="G113" i="16" s="1"/>
  <c r="C112" i="16"/>
  <c r="G112" i="16" s="1"/>
  <c r="C111" i="16"/>
  <c r="G111" i="16" s="1"/>
  <c r="H111" i="16" s="1"/>
  <c r="C106" i="16"/>
  <c r="G106" i="16" s="1"/>
  <c r="C105" i="16"/>
  <c r="G105" i="16" s="1"/>
  <c r="C104" i="16"/>
  <c r="G104" i="16" s="1"/>
  <c r="C103" i="16"/>
  <c r="G103" i="16" s="1"/>
  <c r="C102" i="16"/>
  <c r="G102" i="16" s="1"/>
  <c r="H102" i="16" s="1"/>
  <c r="C96" i="16"/>
  <c r="G96" i="16" s="1"/>
  <c r="C95" i="16"/>
  <c r="G95" i="16" s="1"/>
  <c r="C94" i="16"/>
  <c r="G94" i="16" s="1"/>
  <c r="C93" i="16"/>
  <c r="G93" i="16" s="1"/>
  <c r="H92" i="16" s="1"/>
  <c r="C92" i="16"/>
  <c r="G92" i="16" s="1"/>
  <c r="C87" i="16"/>
  <c r="G87" i="16" s="1"/>
  <c r="C86" i="16"/>
  <c r="G86" i="16" s="1"/>
  <c r="C85" i="16"/>
  <c r="G85" i="16" s="1"/>
  <c r="C84" i="16"/>
  <c r="G84" i="16" s="1"/>
  <c r="C83" i="16"/>
  <c r="G83" i="16" s="1"/>
  <c r="H83" i="16" s="1"/>
  <c r="C78" i="16"/>
  <c r="G78" i="16" s="1"/>
  <c r="C77" i="16"/>
  <c r="G77" i="16" s="1"/>
  <c r="C76" i="16"/>
  <c r="G76" i="16" s="1"/>
  <c r="C75" i="16"/>
  <c r="G75" i="16" s="1"/>
  <c r="C74" i="16"/>
  <c r="G74" i="16" s="1"/>
  <c r="H74" i="16" s="1"/>
  <c r="C69" i="16"/>
  <c r="G69" i="16" s="1"/>
  <c r="C68" i="16"/>
  <c r="G68" i="16" s="1"/>
  <c r="C67" i="16"/>
  <c r="G67" i="16" s="1"/>
  <c r="C66" i="16"/>
  <c r="G66" i="16" s="1"/>
  <c r="C65" i="16"/>
  <c r="G65" i="16" s="1"/>
  <c r="C60" i="16"/>
  <c r="G60" i="16" s="1"/>
  <c r="C59" i="16"/>
  <c r="G59" i="16" s="1"/>
  <c r="C58" i="16"/>
  <c r="G58" i="16" s="1"/>
  <c r="C57" i="16"/>
  <c r="G57" i="16" s="1"/>
  <c r="C56" i="16"/>
  <c r="G56" i="16" s="1"/>
  <c r="H56" i="16" s="1"/>
  <c r="C50" i="16"/>
  <c r="G50" i="16" s="1"/>
  <c r="C49" i="16"/>
  <c r="G49" i="16" s="1"/>
  <c r="C48" i="16"/>
  <c r="G48" i="16" s="1"/>
  <c r="C47" i="16"/>
  <c r="G47" i="16" s="1"/>
  <c r="C46" i="16"/>
  <c r="G46" i="16" s="1"/>
  <c r="C41" i="16"/>
  <c r="G41" i="16" s="1"/>
  <c r="C40" i="16"/>
  <c r="G40" i="16" s="1"/>
  <c r="C39" i="16"/>
  <c r="G39" i="16" s="1"/>
  <c r="C38" i="16"/>
  <c r="G38" i="16" s="1"/>
  <c r="C37" i="16"/>
  <c r="G37" i="16" s="1"/>
  <c r="C32" i="16"/>
  <c r="G32" i="16" s="1"/>
  <c r="C31" i="16"/>
  <c r="G31" i="16" s="1"/>
  <c r="C30" i="16"/>
  <c r="G30" i="16" s="1"/>
  <c r="C29" i="16"/>
  <c r="G29" i="16" s="1"/>
  <c r="C28" i="16"/>
  <c r="G28" i="16" s="1"/>
  <c r="C23" i="16"/>
  <c r="G23" i="16" s="1"/>
  <c r="C22" i="16"/>
  <c r="G22" i="16" s="1"/>
  <c r="C21" i="16"/>
  <c r="G21" i="16" s="1"/>
  <c r="C20" i="16"/>
  <c r="G20" i="16" s="1"/>
  <c r="C19" i="16"/>
  <c r="G19" i="16" s="1"/>
  <c r="C11" i="16"/>
  <c r="C12" i="16"/>
  <c r="C13" i="16"/>
  <c r="C14" i="16"/>
  <c r="C10" i="16"/>
  <c r="F9" i="16"/>
  <c r="H148" i="16" l="1"/>
  <c r="H129" i="16"/>
  <c r="H120" i="16"/>
  <c r="H65" i="16"/>
  <c r="H46" i="16"/>
  <c r="H37" i="16"/>
  <c r="H28" i="16"/>
  <c r="H19" i="16"/>
  <c r="F11" i="16"/>
  <c r="F12" i="16"/>
  <c r="F13" i="16"/>
  <c r="F14" i="16"/>
  <c r="F10" i="16"/>
  <c r="G7" i="16"/>
  <c r="G14" i="16" l="1"/>
  <c r="G13" i="16"/>
  <c r="G12" i="16"/>
  <c r="G11" i="16"/>
  <c r="G10" i="16"/>
  <c r="H10" i="16" l="1"/>
</calcChain>
</file>

<file path=xl/sharedStrings.xml><?xml version="1.0" encoding="utf-8"?>
<sst xmlns="http://schemas.openxmlformats.org/spreadsheetml/2006/main" count="210" uniqueCount="44">
  <si>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</si>
  <si>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</si>
  <si>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</si>
  <si>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7" type="noConversion"/>
  </si>
  <si>
    <t>CH1</t>
    <phoneticPr fontId="7" type="noConversion"/>
  </si>
  <si>
    <t>CH2</t>
    <phoneticPr fontId="7" type="noConversion"/>
  </si>
  <si>
    <t>CH3</t>
    <phoneticPr fontId="7" type="noConversion"/>
  </si>
  <si>
    <t>CH4</t>
    <phoneticPr fontId="7" type="noConversion"/>
  </si>
  <si>
    <t>CH5</t>
    <phoneticPr fontId="7" type="noConversion"/>
  </si>
  <si>
    <t>CH6</t>
    <phoneticPr fontId="7" type="noConversion"/>
  </si>
  <si>
    <t>CH7</t>
    <phoneticPr fontId="7" type="noConversion"/>
  </si>
  <si>
    <t>CH8</t>
    <phoneticPr fontId="7" type="noConversion"/>
  </si>
  <si>
    <t>CH9</t>
    <phoneticPr fontId="7" type="noConversion"/>
  </si>
  <si>
    <t>CH10</t>
    <phoneticPr fontId="7" type="noConversion"/>
  </si>
  <si>
    <t>CH11</t>
    <phoneticPr fontId="7" type="noConversion"/>
  </si>
  <si>
    <t>CH12</t>
    <phoneticPr fontId="7" type="noConversion"/>
  </si>
  <si>
    <t>CH13</t>
    <phoneticPr fontId="7" type="noConversion"/>
  </si>
  <si>
    <t>CH14</t>
    <phoneticPr fontId="7" type="noConversion"/>
  </si>
  <si>
    <t>CH15</t>
    <phoneticPr fontId="7" type="noConversion"/>
  </si>
  <si>
    <t>CH16</t>
    <phoneticPr fontId="7" type="noConversion"/>
  </si>
  <si>
    <t>校准结果</t>
    <phoneticPr fontId="7" type="noConversion"/>
  </si>
  <si>
    <t>结果分析</t>
    <phoneticPr fontId="7" type="noConversion"/>
  </si>
  <si>
    <t>max</t>
    <phoneticPr fontId="7" type="noConversion"/>
  </si>
  <si>
    <t>psi</t>
    <phoneticPr fontId="7" type="noConversion"/>
  </si>
  <si>
    <t>Results analysis</t>
    <phoneticPr fontId="7" type="noConversion"/>
  </si>
  <si>
    <t>证书编号：</t>
    <phoneticPr fontId="7" type="noConversion"/>
  </si>
  <si>
    <t>Certificate No.</t>
    <phoneticPr fontId="7" type="noConversion"/>
  </si>
  <si>
    <t>Example</t>
    <phoneticPr fontId="7" type="noConversion"/>
  </si>
  <si>
    <t>Unqualified</t>
    <phoneticPr fontId="7" type="noConversion"/>
  </si>
  <si>
    <t>Qualified</t>
    <phoneticPr fontId="7" type="noConversion"/>
  </si>
  <si>
    <t>Unit</t>
  </si>
  <si>
    <t>Unit</t>
    <phoneticPr fontId="7" type="noConversion"/>
  </si>
  <si>
    <t>Max(Range)</t>
    <phoneticPr fontId="7" type="noConversion"/>
  </si>
  <si>
    <t>Min(Range)</t>
    <phoneticPr fontId="7" type="noConversion"/>
  </si>
  <si>
    <t>Calibration Date</t>
    <phoneticPr fontId="7" type="noConversion"/>
  </si>
  <si>
    <t>Equipment Number</t>
    <phoneticPr fontId="7" type="noConversion"/>
  </si>
  <si>
    <t>Accuracy</t>
    <phoneticPr fontId="7" type="noConversion"/>
  </si>
  <si>
    <t>Channel number</t>
  </si>
  <si>
    <t>Channel number</t>
    <phoneticPr fontId="7" type="noConversion"/>
  </si>
  <si>
    <t>Notes</t>
  </si>
  <si>
    <t>Standard pressure</t>
  </si>
  <si>
    <t>Indication error</t>
  </si>
  <si>
    <t>丨Indication error丨
/FS</t>
  </si>
  <si>
    <t>Device display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</si>
</sst>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00_ "/>
    <numFmt numFmtId="178" formatCode="0.000%"/>
    <numFmt numFmtId="179" formatCode="0.0000"/>
  </numFmts>
  <fonts count="1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2" fillId="0" borderId="0"/>
    <xf numFmtId="0" fontId="1" fillId="0" borderId="0"/>
    <xf numFmtId="9" fontId="15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5" fillId="0" borderId="0" xfId="2" applyFont="1">
      <alignment vertical="center"/>
    </xf>
    <xf numFmtId="0" fontId="3" fillId="0" borderId="0" xfId="2" applyFont="1" applyAlignment="1">
      <alignment horizontal="center" vertical="center"/>
    </xf>
    <xf numFmtId="0" fontId="5" fillId="0" borderId="4" xfId="2" applyFont="1" applyBorder="1" applyAlignment="1" applyProtection="1">
      <alignment horizontal="center" vertical="center" wrapText="1"/>
      <protection locked="0"/>
    </xf>
    <xf numFmtId="0" fontId="5" fillId="0" borderId="0" xfId="2" applyFont="1" applyProtection="1">
      <alignment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177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2" fillId="0" borderId="4" xfId="2" applyFont="1" applyBorder="1" applyAlignment="1" applyProtection="1">
      <alignment horizontal="center" vertical="center" wrapText="1"/>
      <protection locked="0"/>
    </xf>
    <xf numFmtId="0" fontId="16" fillId="0" borderId="4" xfId="2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0" fontId="4" fillId="0" borderId="0" xfId="2" applyFont="1" applyAlignment="1">
      <alignment horizontal="center" vertical="center"/>
    </xf>
    <xf numFmtId="0" fontId="10" fillId="0" borderId="1" xfId="2" applyFont="1" applyBorder="1" applyAlignment="1" applyProtection="1">
      <alignment horizontal="center" vertical="center"/>
      <protection locked="0"/>
    </xf>
    <xf numFmtId="0" fontId="5" fillId="0" borderId="1" xfId="2" applyFont="1" applyBorder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center" vertical="center" wrapText="1"/>
      <protection locked="0"/>
    </xf>
    <xf numFmtId="0" fontId="10" fillId="0" borderId="1" xfId="2" applyFont="1" applyBorder="1" applyAlignment="1">
      <alignment horizontal="center" vertical="center" wrapText="1"/>
    </xf>
    <xf numFmtId="31" fontId="10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17" fillId="0" borderId="1" xfId="2" applyFont="1" applyBorder="1" applyAlignment="1" applyProtection="1">
      <alignment horizontal="center" vertical="center" wrapText="1"/>
      <protection locked="0"/>
    </xf>
    <xf numFmtId="179" fontId="3" fillId="0" borderId="1" xfId="0" applyNumberFormat="1" applyFont="1" applyBorder="1" applyAlignment="1">
      <alignment horizontal="center" vertical="center"/>
    </xf>
    <xf numFmtId="179" fontId="5" fillId="0" borderId="1" xfId="2" applyNumberFormat="1" applyFont="1" applyBorder="1" applyAlignment="1" applyProtection="1">
      <alignment horizontal="center" vertical="center" wrapText="1"/>
      <protection locked="0"/>
    </xf>
    <xf numFmtId="179" fontId="5" fillId="0" borderId="1" xfId="2" applyNumberFormat="1" applyFont="1" applyBorder="1" applyAlignment="1" applyProtection="1">
      <alignment horizontal="center" vertical="center"/>
      <protection locked="0"/>
    </xf>
    <xf numFmtId="0" fontId="10" fillId="0" borderId="0" xfId="2" applyFont="1" applyAlignment="1">
      <alignment horizontal="right" vertical="center"/>
    </xf>
    <xf numFmtId="0" fontId="5" fillId="0" borderId="0" xfId="2" applyFont="1" applyAlignment="1">
      <alignment horizontal="right" vertical="center"/>
    </xf>
    <xf numFmtId="0" fontId="5" fillId="0" borderId="4" xfId="2" applyFont="1" applyBorder="1" applyAlignment="1" applyProtection="1">
      <alignment horizontal="left" vertical="center" wrapText="1"/>
      <protection locked="0"/>
    </xf>
    <xf numFmtId="178" fontId="5" fillId="0" borderId="0" xfId="5" applyNumberFormat="1" applyFont="1" applyBorder="1" applyAlignment="1" applyProtection="1">
      <alignment horizontal="center" vertical="center"/>
      <protection locked="0"/>
    </xf>
    <xf numFmtId="0" fontId="16" fillId="0" borderId="0" xfId="2" applyFont="1" applyAlignment="1" applyProtection="1">
      <alignment horizontal="center" vertical="center" wrapText="1"/>
      <protection locked="0"/>
    </xf>
    <xf numFmtId="179" fontId="3" fillId="0" borderId="0" xfId="0" applyNumberFormat="1" applyFont="1" applyAlignment="1">
      <alignment horizontal="center" vertical="center"/>
    </xf>
    <xf numFmtId="179" fontId="5" fillId="0" borderId="0" xfId="2" applyNumberFormat="1" applyFont="1" applyAlignment="1" applyProtection="1">
      <alignment horizontal="center" vertical="center" wrapText="1"/>
      <protection locked="0"/>
    </xf>
    <xf numFmtId="177" fontId="5" fillId="2" borderId="0" xfId="2" applyNumberFormat="1" applyFont="1" applyFill="1" applyAlignment="1" applyProtection="1">
      <alignment horizontal="center" vertical="center" wrapText="1"/>
      <protection locked="0"/>
    </xf>
    <xf numFmtId="179" fontId="5" fillId="0" borderId="0" xfId="2" applyNumberFormat="1" applyFont="1" applyAlignment="1" applyProtection="1">
      <alignment horizontal="center" vertical="center"/>
      <protection locked="0"/>
    </xf>
    <xf numFmtId="176" fontId="5" fillId="0" borderId="3" xfId="2" applyNumberFormat="1" applyFont="1" applyBorder="1" applyAlignment="1" applyProtection="1">
      <alignment horizontal="center" vertical="center"/>
      <protection locked="0"/>
    </xf>
    <xf numFmtId="176" fontId="10" fillId="0" borderId="2" xfId="2" applyNumberFormat="1" applyFont="1" applyBorder="1" applyAlignment="1" applyProtection="1">
      <alignment horizontal="center" vertical="center"/>
      <protection locked="0"/>
    </xf>
    <xf numFmtId="0" fontId="6" fillId="2" borderId="2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0" fontId="10" fillId="0" borderId="1" xfId="2" applyFont="1" applyBorder="1" applyAlignment="1" applyProtection="1">
      <alignment horizontal="center" vertical="center" wrapText="1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176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/>
      <protection locked="0"/>
    </xf>
    <xf numFmtId="176" fontId="10" fillId="0" borderId="5" xfId="2" applyNumberFormat="1" applyFont="1" applyBorder="1" applyAlignment="1" applyProtection="1">
      <alignment horizontal="center" vertical="center" wrapText="1"/>
      <protection locked="0"/>
    </xf>
    <xf numFmtId="176" fontId="10" fillId="0" borderId="1" xfId="2" applyNumberFormat="1" applyFont="1" applyBorder="1" applyAlignment="1" applyProtection="1">
      <alignment horizontal="center" vertical="center" wrapText="1"/>
      <protection locked="0"/>
    </xf>
    <xf numFmtId="178" fontId="5" fillId="0" borderId="2" xfId="5" applyNumberFormat="1" applyFont="1" applyBorder="1" applyAlignment="1" applyProtection="1">
      <alignment horizontal="center" vertical="center"/>
      <protection locked="0"/>
    </xf>
    <xf numFmtId="178" fontId="5" fillId="0" borderId="6" xfId="5" applyNumberFormat="1" applyFont="1" applyBorder="1" applyAlignment="1" applyProtection="1">
      <alignment horizontal="center" vertical="center"/>
      <protection locked="0"/>
    </xf>
    <xf numFmtId="178" fontId="5" fillId="0" borderId="3" xfId="5" applyNumberFormat="1" applyFont="1" applyBorder="1" applyAlignment="1" applyProtection="1">
      <alignment horizontal="center" vertical="center"/>
      <protection locked="0"/>
    </xf>
    <xf numFmtId="0" fontId="5" fillId="2" borderId="1" xfId="2" applyFont="1" applyFill="1" applyBorder="1" applyAlignment="1" applyProtection="1">
      <alignment horizontal="center" vertical="center" wrapText="1"/>
      <protection locked="0"/>
    </xf>
    <xf numFmtId="176" fontId="6" fillId="0" borderId="3" xfId="2" applyNumberFormat="1" applyFont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0" fontId="10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14" fillId="0" borderId="0" xfId="2" applyFont="1" applyAlignment="1" applyProtection="1">
      <alignment horizontal="center" vertical="center" wrapText="1"/>
      <protection locked="0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154</xdr:row>
      <xdr:rowOff>9525</xdr:rowOff>
    </xdr:from>
    <xdr:to>
      <xdr:col>2</xdr:col>
      <xdr:colOff>857250</xdr:colOff>
      <xdr:row>154</xdr:row>
      <xdr:rowOff>9525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2295525" y="28470225"/>
          <a:ext cx="1781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tabSelected="1" workbookViewId="0">
      <selection activeCell="F3" sqref="F3:J3"/>
    </sheetView>
  </sheetViews>
  <sheetFormatPr defaultColWidth="9" defaultRowHeight="15" x14ac:dyDescent="0.15"/>
  <cols>
    <col min="1" max="4" width="21.125" style="1" customWidth="1"/>
    <col min="5" max="5" width="4" style="1" customWidth="1"/>
    <col min="6" max="6" width="14.375" style="1" customWidth="1"/>
    <col min="7" max="7" width="13.625" style="1" customWidth="1"/>
    <col min="8" max="8" width="13.125" style="1" customWidth="1"/>
    <col min="9" max="9" width="13.25" style="1" customWidth="1"/>
    <col min="10" max="10" width="14.25" style="1" customWidth="1"/>
    <col min="11" max="11" width="13.5" style="1" customWidth="1"/>
    <col min="12" max="12" width="7.625" style="1" customWidth="1"/>
    <col min="13" max="16384" width="9" style="1"/>
  </cols>
  <sheetData>
    <row r="1" spans="1:12" ht="26.45" customHeight="1" x14ac:dyDescent="0.15">
      <c r="C1" s="23" t="s">
        <v>25</v>
      </c>
      <c r="D1" s="18"/>
      <c r="I1" s="54" t="s">
        <v>27</v>
      </c>
      <c r="J1" s="15" t="s">
        <v>28</v>
      </c>
      <c r="K1" s="15" t="s">
        <v>29</v>
      </c>
    </row>
    <row r="2" spans="1:12" ht="15" customHeight="1" x14ac:dyDescent="0.15">
      <c r="C2" s="24" t="s">
        <v>26</v>
      </c>
      <c r="I2" s="55"/>
      <c r="J2" s="10">
        <v>5.4000000000000001E-4</v>
      </c>
      <c r="K2" s="10">
        <v>1E-4</v>
      </c>
    </row>
    <row r="3" spans="1:12" ht="23.1" customHeight="1" x14ac:dyDescent="0.15">
      <c r="A3" s="50" t="s">
        <v>20</v>
      </c>
      <c r="B3" s="51"/>
      <c r="C3" s="51"/>
      <c r="D3" s="51"/>
      <c r="F3" s="50" t="s">
        <v>21</v>
      </c>
      <c r="G3" s="50"/>
      <c r="H3" s="50"/>
      <c r="I3" s="50"/>
      <c r="J3" s="50"/>
      <c r="K3" s="11"/>
      <c r="L3" s="11"/>
    </row>
    <row r="4" spans="1:12" ht="11.1" customHeight="1" x14ac:dyDescent="0.15">
      <c r="A4" s="52" t="s">
        <v>0</v>
      </c>
      <c r="B4" s="52"/>
      <c r="C4" s="52"/>
      <c r="D4" s="52"/>
      <c r="F4" s="48" t="s">
        <v>24</v>
      </c>
      <c r="G4" s="48"/>
      <c r="H4" s="48"/>
      <c r="I4" s="48"/>
      <c r="J4" s="48"/>
    </row>
    <row r="5" spans="1:12" ht="35.25" customHeight="1" x14ac:dyDescent="0.15">
      <c r="A5" s="2"/>
      <c r="B5" s="2"/>
      <c r="C5" s="2"/>
      <c r="D5" s="2"/>
      <c r="F5" s="19" t="s">
        <v>35</v>
      </c>
      <c r="G5" s="17"/>
      <c r="H5" s="19" t="s">
        <v>34</v>
      </c>
      <c r="I5" s="16"/>
      <c r="J5" s="19" t="s">
        <v>31</v>
      </c>
      <c r="K5" s="17" t="s">
        <v>23</v>
      </c>
    </row>
    <row r="6" spans="1:12" s="4" customFormat="1" ht="15" customHeight="1" x14ac:dyDescent="0.15">
      <c r="A6" s="5"/>
      <c r="B6" s="5"/>
      <c r="C6" s="5"/>
      <c r="D6" s="5"/>
      <c r="F6" s="19" t="s">
        <v>36</v>
      </c>
      <c r="G6" s="13">
        <v>0.05</v>
      </c>
      <c r="H6" s="19" t="s">
        <v>33</v>
      </c>
      <c r="I6" s="12">
        <v>0</v>
      </c>
      <c r="J6" s="19" t="s">
        <v>32</v>
      </c>
      <c r="K6" s="13">
        <v>100</v>
      </c>
    </row>
    <row r="7" spans="1:12" s="4" customFormat="1" ht="25.5" customHeight="1" x14ac:dyDescent="0.15">
      <c r="A7" s="7" t="s">
        <v>37</v>
      </c>
      <c r="B7" s="25" t="s">
        <v>4</v>
      </c>
      <c r="C7" s="27" t="s">
        <v>30</v>
      </c>
      <c r="D7" s="18" t="str">
        <f>$K$5</f>
        <v>psi</v>
      </c>
      <c r="F7" s="56" t="s">
        <v>38</v>
      </c>
      <c r="G7" s="9" t="str">
        <f>B7</f>
        <v>CH1</v>
      </c>
      <c r="I7" s="8"/>
      <c r="J7" s="3"/>
      <c r="K7" s="9"/>
    </row>
    <row r="8" spans="1:12" s="4" customFormat="1" ht="15" customHeight="1" x14ac:dyDescent="0.15">
      <c r="A8" s="34" t="s">
        <v>40</v>
      </c>
      <c r="B8" s="34" t="s">
        <v>43</v>
      </c>
      <c r="C8" s="53" t="s">
        <v>41</v>
      </c>
      <c r="D8" s="38" t="s">
        <v>3</v>
      </c>
      <c r="F8" s="33" t="s">
        <v>40</v>
      </c>
      <c r="G8" s="40" t="s">
        <v>42</v>
      </c>
      <c r="H8" s="39" t="s">
        <v>22</v>
      </c>
      <c r="I8" s="36" t="s">
        <v>39</v>
      </c>
      <c r="J8" s="36"/>
      <c r="K8" s="36"/>
    </row>
    <row r="9" spans="1:12" s="4" customFormat="1" x14ac:dyDescent="0.15">
      <c r="A9" s="35"/>
      <c r="B9" s="35"/>
      <c r="C9" s="47"/>
      <c r="D9" s="38"/>
      <c r="F9" s="32" t="str">
        <f>"（"&amp;$K$5&amp;"）"</f>
        <v>（psi）</v>
      </c>
      <c r="G9" s="41"/>
      <c r="H9" s="39"/>
      <c r="I9" s="36"/>
      <c r="J9" s="36"/>
      <c r="K9" s="36"/>
    </row>
    <row r="10" spans="1:12" s="4" customFormat="1" x14ac:dyDescent="0.15">
      <c r="A10" s="20">
        <v>0</v>
      </c>
      <c r="B10" s="20">
        <v>0</v>
      </c>
      <c r="C10" s="21">
        <f>B10-A10</f>
        <v>0</v>
      </c>
      <c r="D10" s="6">
        <v>1.2999999999999999E-2</v>
      </c>
      <c r="F10" s="22">
        <f t="shared" ref="F10:F14" si="0">A10</f>
        <v>0</v>
      </c>
      <c r="G10" s="10">
        <f t="shared" ref="G10:G14" si="1">ABS(C10)/($K$6-$I$6)</f>
        <v>0</v>
      </c>
      <c r="H10" s="42">
        <f>MAX(G10:G14)</f>
        <v>0</v>
      </c>
      <c r="I10" s="37"/>
      <c r="J10" s="37"/>
      <c r="K10" s="37"/>
    </row>
    <row r="11" spans="1:12" s="4" customFormat="1" x14ac:dyDescent="0.15">
      <c r="A11" s="20">
        <v>0</v>
      </c>
      <c r="B11" s="20">
        <v>0</v>
      </c>
      <c r="C11" s="21">
        <f t="shared" ref="C11:C14" si="2">B11-A11</f>
        <v>0</v>
      </c>
      <c r="D11" s="6">
        <v>1.2999999999999999E-2</v>
      </c>
      <c r="F11" s="22">
        <f t="shared" si="0"/>
        <v>0</v>
      </c>
      <c r="G11" s="10">
        <f t="shared" si="1"/>
        <v>0</v>
      </c>
      <c r="H11" s="43"/>
      <c r="I11" s="37"/>
      <c r="J11" s="37"/>
      <c r="K11" s="37"/>
    </row>
    <row r="12" spans="1:12" s="4" customFormat="1" x14ac:dyDescent="0.15">
      <c r="A12" s="20">
        <v>0</v>
      </c>
      <c r="B12" s="20">
        <v>0</v>
      </c>
      <c r="C12" s="21">
        <f t="shared" si="2"/>
        <v>0</v>
      </c>
      <c r="D12" s="6">
        <v>1.2999999999999999E-2</v>
      </c>
      <c r="F12" s="22">
        <f t="shared" si="0"/>
        <v>0</v>
      </c>
      <c r="G12" s="10">
        <f t="shared" si="1"/>
        <v>0</v>
      </c>
      <c r="H12" s="43"/>
      <c r="I12" s="37"/>
      <c r="J12" s="37"/>
      <c r="K12" s="37"/>
    </row>
    <row r="13" spans="1:12" s="4" customFormat="1" x14ac:dyDescent="0.15">
      <c r="A13" s="20">
        <v>0</v>
      </c>
      <c r="B13" s="20">
        <v>0</v>
      </c>
      <c r="C13" s="21">
        <f t="shared" si="2"/>
        <v>0</v>
      </c>
      <c r="D13" s="6">
        <v>1.2999999999999999E-2</v>
      </c>
      <c r="F13" s="22">
        <f t="shared" si="0"/>
        <v>0</v>
      </c>
      <c r="G13" s="10">
        <f t="shared" si="1"/>
        <v>0</v>
      </c>
      <c r="H13" s="43"/>
      <c r="I13" s="37"/>
      <c r="J13" s="37"/>
      <c r="K13" s="37"/>
    </row>
    <row r="14" spans="1:12" s="4" customFormat="1" x14ac:dyDescent="0.15">
      <c r="A14" s="20">
        <v>0</v>
      </c>
      <c r="B14" s="20">
        <v>0</v>
      </c>
      <c r="C14" s="21">
        <f t="shared" si="2"/>
        <v>0</v>
      </c>
      <c r="D14" s="6">
        <v>1.2999999999999999E-2</v>
      </c>
      <c r="F14" s="22">
        <f t="shared" si="0"/>
        <v>0</v>
      </c>
      <c r="G14" s="10">
        <f t="shared" si="1"/>
        <v>0</v>
      </c>
      <c r="H14" s="44"/>
      <c r="I14" s="37"/>
      <c r="J14" s="37"/>
      <c r="K14" s="37"/>
    </row>
    <row r="15" spans="1:12" s="4" customFormat="1" ht="6.75" customHeight="1" x14ac:dyDescent="0.15">
      <c r="A15" s="28"/>
      <c r="B15" s="28"/>
      <c r="C15" s="29"/>
      <c r="D15" s="30"/>
      <c r="F15" s="31"/>
      <c r="G15" s="26"/>
      <c r="H15" s="26"/>
      <c r="I15" s="26"/>
      <c r="J15" s="26"/>
      <c r="K15" s="26"/>
    </row>
    <row r="16" spans="1:12" ht="22.5" customHeight="1" x14ac:dyDescent="0.15">
      <c r="A16" s="7" t="s">
        <v>37</v>
      </c>
      <c r="B16" s="25" t="s">
        <v>5</v>
      </c>
      <c r="C16" s="8" t="s">
        <v>30</v>
      </c>
      <c r="D16" s="18" t="str">
        <f>$K$5</f>
        <v>psi</v>
      </c>
      <c r="F16" s="56" t="s">
        <v>37</v>
      </c>
      <c r="G16" s="9" t="str">
        <f>B16</f>
        <v>CH2</v>
      </c>
      <c r="H16" s="4"/>
      <c r="I16" s="8"/>
      <c r="J16" s="3"/>
      <c r="K16" s="9"/>
    </row>
    <row r="17" spans="1:11" ht="15" customHeight="1" x14ac:dyDescent="0.15">
      <c r="A17" s="35" t="s">
        <v>40</v>
      </c>
      <c r="B17" s="34" t="s">
        <v>43</v>
      </c>
      <c r="C17" s="46" t="s">
        <v>41</v>
      </c>
      <c r="D17" s="38" t="s">
        <v>3</v>
      </c>
      <c r="F17" s="33" t="s">
        <v>40</v>
      </c>
      <c r="G17" s="40" t="s">
        <v>42</v>
      </c>
      <c r="H17" s="39" t="s">
        <v>22</v>
      </c>
      <c r="I17" s="36" t="s">
        <v>39</v>
      </c>
      <c r="J17" s="36"/>
      <c r="K17" s="36"/>
    </row>
    <row r="18" spans="1:11" x14ac:dyDescent="0.15">
      <c r="A18" s="45"/>
      <c r="B18" s="35"/>
      <c r="C18" s="47"/>
      <c r="D18" s="38"/>
      <c r="F18" s="32" t="str">
        <f>"（"&amp;$K$5&amp;"）"</f>
        <v>（psi）</v>
      </c>
      <c r="G18" s="41"/>
      <c r="H18" s="39"/>
      <c r="I18" s="36"/>
      <c r="J18" s="36"/>
      <c r="K18" s="36"/>
    </row>
    <row r="19" spans="1:11" x14ac:dyDescent="0.15">
      <c r="A19" s="20">
        <v>0</v>
      </c>
      <c r="B19" s="20">
        <v>0</v>
      </c>
      <c r="C19" s="21">
        <f>B19-A19</f>
        <v>0</v>
      </c>
      <c r="D19" s="6">
        <v>1.2999999999999999E-2</v>
      </c>
      <c r="F19" s="22">
        <f t="shared" ref="F19:F23" si="3">A19</f>
        <v>0</v>
      </c>
      <c r="G19" s="10">
        <f t="shared" ref="G19:G23" si="4">ABS(C19)/($K$6-$I$6)</f>
        <v>0</v>
      </c>
      <c r="H19" s="42">
        <f>MAX(G19:G23)</f>
        <v>0</v>
      </c>
      <c r="I19" s="37"/>
      <c r="J19" s="37"/>
      <c r="K19" s="37"/>
    </row>
    <row r="20" spans="1:11" x14ac:dyDescent="0.15">
      <c r="A20" s="20">
        <v>0</v>
      </c>
      <c r="B20" s="20">
        <v>0</v>
      </c>
      <c r="C20" s="21">
        <f t="shared" ref="C20:C23" si="5">B20-A20</f>
        <v>0</v>
      </c>
      <c r="D20" s="6">
        <v>1.2999999999999999E-2</v>
      </c>
      <c r="F20" s="22">
        <f t="shared" si="3"/>
        <v>0</v>
      </c>
      <c r="G20" s="10">
        <f t="shared" si="4"/>
        <v>0</v>
      </c>
      <c r="H20" s="43"/>
      <c r="I20" s="37"/>
      <c r="J20" s="37"/>
      <c r="K20" s="37"/>
    </row>
    <row r="21" spans="1:11" x14ac:dyDescent="0.15">
      <c r="A21" s="20">
        <v>0</v>
      </c>
      <c r="B21" s="20">
        <v>0</v>
      </c>
      <c r="C21" s="21">
        <f t="shared" si="5"/>
        <v>0</v>
      </c>
      <c r="D21" s="6">
        <v>1.2999999999999999E-2</v>
      </c>
      <c r="F21" s="22">
        <f t="shared" si="3"/>
        <v>0</v>
      </c>
      <c r="G21" s="10">
        <f t="shared" si="4"/>
        <v>0</v>
      </c>
      <c r="H21" s="43"/>
      <c r="I21" s="37"/>
      <c r="J21" s="37"/>
      <c r="K21" s="37"/>
    </row>
    <row r="22" spans="1:11" x14ac:dyDescent="0.15">
      <c r="A22" s="20">
        <v>0</v>
      </c>
      <c r="B22" s="20">
        <v>0</v>
      </c>
      <c r="C22" s="21">
        <f t="shared" si="5"/>
        <v>0</v>
      </c>
      <c r="D22" s="6">
        <v>1.2999999999999999E-2</v>
      </c>
      <c r="F22" s="22">
        <f t="shared" si="3"/>
        <v>0</v>
      </c>
      <c r="G22" s="10">
        <f t="shared" si="4"/>
        <v>0</v>
      </c>
      <c r="H22" s="43"/>
      <c r="I22" s="37"/>
      <c r="J22" s="37"/>
      <c r="K22" s="37"/>
    </row>
    <row r="23" spans="1:11" x14ac:dyDescent="0.15">
      <c r="A23" s="20">
        <v>0</v>
      </c>
      <c r="B23" s="20">
        <v>0</v>
      </c>
      <c r="C23" s="21">
        <f t="shared" si="5"/>
        <v>0</v>
      </c>
      <c r="D23" s="6">
        <v>1.2999999999999999E-2</v>
      </c>
      <c r="F23" s="22">
        <f t="shared" si="3"/>
        <v>0</v>
      </c>
      <c r="G23" s="10">
        <f t="shared" si="4"/>
        <v>0</v>
      </c>
      <c r="H23" s="44"/>
      <c r="I23" s="37"/>
      <c r="J23" s="37"/>
      <c r="K23" s="37"/>
    </row>
    <row r="24" spans="1:11" ht="7.5" customHeight="1" x14ac:dyDescent="0.15">
      <c r="A24" s="28"/>
      <c r="B24" s="28"/>
      <c r="C24" s="29"/>
      <c r="D24" s="30"/>
      <c r="F24" s="31"/>
      <c r="G24" s="26"/>
      <c r="H24" s="26"/>
      <c r="I24" s="26"/>
      <c r="J24" s="26"/>
      <c r="K24" s="26"/>
    </row>
    <row r="25" spans="1:11" x14ac:dyDescent="0.15">
      <c r="A25" s="7" t="s">
        <v>37</v>
      </c>
      <c r="B25" s="25" t="s">
        <v>6</v>
      </c>
      <c r="C25" s="8" t="s">
        <v>30</v>
      </c>
      <c r="D25" s="18" t="str">
        <f>$K$5</f>
        <v>psi</v>
      </c>
      <c r="F25" s="14" t="s">
        <v>37</v>
      </c>
      <c r="G25" s="9" t="str">
        <f>B25</f>
        <v>CH3</v>
      </c>
      <c r="H25" s="4"/>
      <c r="I25" s="8"/>
      <c r="J25" s="3"/>
      <c r="K25" s="9"/>
    </row>
    <row r="26" spans="1:11" ht="15" customHeight="1" x14ac:dyDescent="0.15">
      <c r="A26" s="35" t="s">
        <v>40</v>
      </c>
      <c r="B26" s="34" t="s">
        <v>43</v>
      </c>
      <c r="C26" s="46" t="s">
        <v>41</v>
      </c>
      <c r="D26" s="38" t="s">
        <v>3</v>
      </c>
      <c r="F26" s="33" t="s">
        <v>40</v>
      </c>
      <c r="G26" s="40" t="s">
        <v>42</v>
      </c>
      <c r="H26" s="39" t="s">
        <v>22</v>
      </c>
      <c r="I26" s="36" t="s">
        <v>39</v>
      </c>
      <c r="J26" s="36"/>
      <c r="K26" s="36"/>
    </row>
    <row r="27" spans="1:11" x14ac:dyDescent="0.15">
      <c r="A27" s="45"/>
      <c r="B27" s="35"/>
      <c r="C27" s="47"/>
      <c r="D27" s="38"/>
      <c r="F27" s="32" t="str">
        <f>"（"&amp;$K$5&amp;"）"</f>
        <v>（psi）</v>
      </c>
      <c r="G27" s="41"/>
      <c r="H27" s="39"/>
      <c r="I27" s="36"/>
      <c r="J27" s="36"/>
      <c r="K27" s="36"/>
    </row>
    <row r="28" spans="1:11" x14ac:dyDescent="0.15">
      <c r="A28" s="20">
        <v>0</v>
      </c>
      <c r="B28" s="20">
        <v>0</v>
      </c>
      <c r="C28" s="21">
        <f>B28-A28</f>
        <v>0</v>
      </c>
      <c r="D28" s="6">
        <v>1.2999999999999999E-2</v>
      </c>
      <c r="F28" s="22">
        <f t="shared" ref="F28:F32" si="6">A28</f>
        <v>0</v>
      </c>
      <c r="G28" s="10">
        <f t="shared" ref="G28:G32" si="7">ABS(C28)/($K$6-$I$6)</f>
        <v>0</v>
      </c>
      <c r="H28" s="42">
        <f>MAX(G28:G32)</f>
        <v>0</v>
      </c>
      <c r="I28" s="37"/>
      <c r="J28" s="37"/>
      <c r="K28" s="37"/>
    </row>
    <row r="29" spans="1:11" x14ac:dyDescent="0.15">
      <c r="A29" s="20">
        <v>0</v>
      </c>
      <c r="B29" s="20">
        <v>0</v>
      </c>
      <c r="C29" s="21">
        <f t="shared" ref="C29:C32" si="8">B29-A29</f>
        <v>0</v>
      </c>
      <c r="D29" s="6">
        <v>1.2999999999999999E-2</v>
      </c>
      <c r="F29" s="22">
        <f t="shared" si="6"/>
        <v>0</v>
      </c>
      <c r="G29" s="10">
        <f t="shared" si="7"/>
        <v>0</v>
      </c>
      <c r="H29" s="43"/>
      <c r="I29" s="37"/>
      <c r="J29" s="37"/>
      <c r="K29" s="37"/>
    </row>
    <row r="30" spans="1:11" x14ac:dyDescent="0.15">
      <c r="A30" s="20">
        <v>0</v>
      </c>
      <c r="B30" s="20">
        <v>0</v>
      </c>
      <c r="C30" s="21">
        <f t="shared" si="8"/>
        <v>0</v>
      </c>
      <c r="D30" s="6">
        <v>1.2999999999999999E-2</v>
      </c>
      <c r="F30" s="22">
        <f t="shared" si="6"/>
        <v>0</v>
      </c>
      <c r="G30" s="10">
        <f t="shared" si="7"/>
        <v>0</v>
      </c>
      <c r="H30" s="43"/>
      <c r="I30" s="37"/>
      <c r="J30" s="37"/>
      <c r="K30" s="37"/>
    </row>
    <row r="31" spans="1:11" x14ac:dyDescent="0.15">
      <c r="A31" s="20">
        <v>0</v>
      </c>
      <c r="B31" s="20">
        <v>0</v>
      </c>
      <c r="C31" s="21">
        <f t="shared" si="8"/>
        <v>0</v>
      </c>
      <c r="D31" s="6">
        <v>1.2999999999999999E-2</v>
      </c>
      <c r="F31" s="22">
        <f t="shared" si="6"/>
        <v>0</v>
      </c>
      <c r="G31" s="10">
        <f t="shared" si="7"/>
        <v>0</v>
      </c>
      <c r="H31" s="43"/>
      <c r="I31" s="37"/>
      <c r="J31" s="37"/>
      <c r="K31" s="37"/>
    </row>
    <row r="32" spans="1:11" x14ac:dyDescent="0.15">
      <c r="A32" s="20">
        <v>0</v>
      </c>
      <c r="B32" s="20">
        <v>0</v>
      </c>
      <c r="C32" s="21">
        <f t="shared" si="8"/>
        <v>0</v>
      </c>
      <c r="D32" s="6">
        <v>1.2999999999999999E-2</v>
      </c>
      <c r="F32" s="22">
        <f t="shared" si="6"/>
        <v>0</v>
      </c>
      <c r="G32" s="10">
        <f t="shared" si="7"/>
        <v>0</v>
      </c>
      <c r="H32" s="44"/>
      <c r="I32" s="37"/>
      <c r="J32" s="37"/>
      <c r="K32" s="37"/>
    </row>
    <row r="33" spans="1:11" ht="8.25" customHeight="1" x14ac:dyDescent="0.15">
      <c r="A33" s="28"/>
      <c r="B33" s="28"/>
      <c r="C33" s="29"/>
      <c r="D33" s="30"/>
      <c r="F33" s="31"/>
      <c r="G33" s="26"/>
      <c r="H33" s="26"/>
      <c r="I33" s="26"/>
      <c r="J33" s="26"/>
      <c r="K33" s="26"/>
    </row>
    <row r="34" spans="1:11" x14ac:dyDescent="0.15">
      <c r="A34" s="7" t="s">
        <v>37</v>
      </c>
      <c r="B34" s="25" t="s">
        <v>7</v>
      </c>
      <c r="C34" s="8" t="s">
        <v>30</v>
      </c>
      <c r="D34" s="18" t="str">
        <f>$K$5</f>
        <v>psi</v>
      </c>
      <c r="F34" s="14" t="s">
        <v>37</v>
      </c>
      <c r="G34" s="9" t="str">
        <f>B34</f>
        <v>CH4</v>
      </c>
      <c r="H34" s="4"/>
      <c r="I34" s="8"/>
      <c r="J34" s="3"/>
      <c r="K34" s="9"/>
    </row>
    <row r="35" spans="1:11" ht="15" customHeight="1" x14ac:dyDescent="0.15">
      <c r="A35" s="35" t="s">
        <v>40</v>
      </c>
      <c r="B35" s="34" t="s">
        <v>43</v>
      </c>
      <c r="C35" s="46" t="s">
        <v>41</v>
      </c>
      <c r="D35" s="38" t="s">
        <v>3</v>
      </c>
      <c r="F35" s="33" t="s">
        <v>40</v>
      </c>
      <c r="G35" s="40" t="s">
        <v>42</v>
      </c>
      <c r="H35" s="39" t="s">
        <v>22</v>
      </c>
      <c r="I35" s="36" t="s">
        <v>39</v>
      </c>
      <c r="J35" s="36"/>
      <c r="K35" s="36"/>
    </row>
    <row r="36" spans="1:11" x14ac:dyDescent="0.15">
      <c r="A36" s="45"/>
      <c r="B36" s="35"/>
      <c r="C36" s="47"/>
      <c r="D36" s="38"/>
      <c r="F36" s="32" t="str">
        <f>"（"&amp;$K$5&amp;"）"</f>
        <v>（psi）</v>
      </c>
      <c r="G36" s="41"/>
      <c r="H36" s="39"/>
      <c r="I36" s="36"/>
      <c r="J36" s="36"/>
      <c r="K36" s="36"/>
    </row>
    <row r="37" spans="1:11" x14ac:dyDescent="0.15">
      <c r="A37" s="20">
        <v>0</v>
      </c>
      <c r="B37" s="20">
        <v>0</v>
      </c>
      <c r="C37" s="21">
        <f>B37-A37</f>
        <v>0</v>
      </c>
      <c r="D37" s="6">
        <v>1.2999999999999999E-2</v>
      </c>
      <c r="F37" s="22">
        <f t="shared" ref="F37:F41" si="9">A37</f>
        <v>0</v>
      </c>
      <c r="G37" s="10">
        <f t="shared" ref="G37:G41" si="10">ABS(C37)/($K$6-$I$6)</f>
        <v>0</v>
      </c>
      <c r="H37" s="42">
        <f>MAX(G37:G41)</f>
        <v>0</v>
      </c>
      <c r="I37" s="37"/>
      <c r="J37" s="37"/>
      <c r="K37" s="37"/>
    </row>
    <row r="38" spans="1:11" x14ac:dyDescent="0.15">
      <c r="A38" s="20">
        <v>0</v>
      </c>
      <c r="B38" s="20">
        <v>0</v>
      </c>
      <c r="C38" s="21">
        <f t="shared" ref="C38:C41" si="11">B38-A38</f>
        <v>0</v>
      </c>
      <c r="D38" s="6">
        <v>1.2999999999999999E-2</v>
      </c>
      <c r="F38" s="22">
        <f t="shared" si="9"/>
        <v>0</v>
      </c>
      <c r="G38" s="10">
        <f t="shared" si="10"/>
        <v>0</v>
      </c>
      <c r="H38" s="43"/>
      <c r="I38" s="37"/>
      <c r="J38" s="37"/>
      <c r="K38" s="37"/>
    </row>
    <row r="39" spans="1:11" x14ac:dyDescent="0.15">
      <c r="A39" s="20">
        <v>0</v>
      </c>
      <c r="B39" s="20">
        <v>0</v>
      </c>
      <c r="C39" s="21">
        <f t="shared" si="11"/>
        <v>0</v>
      </c>
      <c r="D39" s="6">
        <v>1.2999999999999999E-2</v>
      </c>
      <c r="F39" s="22">
        <f t="shared" si="9"/>
        <v>0</v>
      </c>
      <c r="G39" s="10">
        <f t="shared" si="10"/>
        <v>0</v>
      </c>
      <c r="H39" s="43"/>
      <c r="I39" s="37"/>
      <c r="J39" s="37"/>
      <c r="K39" s="37"/>
    </row>
    <row r="40" spans="1:11" x14ac:dyDescent="0.15">
      <c r="A40" s="20">
        <v>0</v>
      </c>
      <c r="B40" s="20">
        <v>0</v>
      </c>
      <c r="C40" s="21">
        <f t="shared" si="11"/>
        <v>0</v>
      </c>
      <c r="D40" s="6">
        <v>1.2999999999999999E-2</v>
      </c>
      <c r="F40" s="22">
        <f t="shared" si="9"/>
        <v>0</v>
      </c>
      <c r="G40" s="10">
        <f t="shared" si="10"/>
        <v>0</v>
      </c>
      <c r="H40" s="43"/>
      <c r="I40" s="37"/>
      <c r="J40" s="37"/>
      <c r="K40" s="37"/>
    </row>
    <row r="41" spans="1:11" x14ac:dyDescent="0.15">
      <c r="A41" s="20">
        <v>0</v>
      </c>
      <c r="B41" s="20">
        <v>0</v>
      </c>
      <c r="C41" s="21">
        <f t="shared" si="11"/>
        <v>0</v>
      </c>
      <c r="D41" s="6">
        <v>1.2999999999999999E-2</v>
      </c>
      <c r="F41" s="22">
        <f t="shared" si="9"/>
        <v>0</v>
      </c>
      <c r="G41" s="10">
        <f t="shared" si="10"/>
        <v>0</v>
      </c>
      <c r="H41" s="44"/>
      <c r="I41" s="37"/>
      <c r="J41" s="37"/>
      <c r="K41" s="37"/>
    </row>
    <row r="42" spans="1:11" ht="8.25" customHeight="1" x14ac:dyDescent="0.15">
      <c r="A42" s="28"/>
      <c r="B42" s="28"/>
      <c r="C42" s="29"/>
      <c r="D42" s="30"/>
      <c r="F42" s="31"/>
      <c r="G42" s="26"/>
      <c r="H42" s="26"/>
      <c r="I42" s="26"/>
      <c r="J42" s="26"/>
      <c r="K42" s="26"/>
    </row>
    <row r="43" spans="1:11" x14ac:dyDescent="0.15">
      <c r="A43" s="7" t="s">
        <v>37</v>
      </c>
      <c r="B43" s="25" t="s">
        <v>8</v>
      </c>
      <c r="C43" s="8" t="s">
        <v>30</v>
      </c>
      <c r="D43" s="18" t="str">
        <f>$K$5</f>
        <v>psi</v>
      </c>
      <c r="F43" s="14" t="s">
        <v>37</v>
      </c>
      <c r="G43" s="9" t="str">
        <f>B43</f>
        <v>CH5</v>
      </c>
      <c r="H43" s="4"/>
      <c r="I43" s="8"/>
      <c r="J43" s="3"/>
      <c r="K43" s="9"/>
    </row>
    <row r="44" spans="1:11" ht="15" customHeight="1" x14ac:dyDescent="0.15">
      <c r="A44" s="35" t="s">
        <v>40</v>
      </c>
      <c r="B44" s="34" t="s">
        <v>43</v>
      </c>
      <c r="C44" s="46" t="s">
        <v>41</v>
      </c>
      <c r="D44" s="38" t="s">
        <v>3</v>
      </c>
      <c r="F44" s="33" t="s">
        <v>40</v>
      </c>
      <c r="G44" s="40" t="s">
        <v>42</v>
      </c>
      <c r="H44" s="39" t="s">
        <v>22</v>
      </c>
      <c r="I44" s="36" t="s">
        <v>39</v>
      </c>
      <c r="J44" s="36"/>
      <c r="K44" s="36"/>
    </row>
    <row r="45" spans="1:11" x14ac:dyDescent="0.15">
      <c r="A45" s="45"/>
      <c r="B45" s="35"/>
      <c r="C45" s="47"/>
      <c r="D45" s="38"/>
      <c r="F45" s="32" t="str">
        <f>"（"&amp;$K$5&amp;"）"</f>
        <v>（psi）</v>
      </c>
      <c r="G45" s="41"/>
      <c r="H45" s="39"/>
      <c r="I45" s="36"/>
      <c r="J45" s="36"/>
      <c r="K45" s="36"/>
    </row>
    <row r="46" spans="1:11" x14ac:dyDescent="0.15">
      <c r="A46" s="20">
        <v>0</v>
      </c>
      <c r="B46" s="20">
        <v>0</v>
      </c>
      <c r="C46" s="21">
        <f>B46-A46</f>
        <v>0</v>
      </c>
      <c r="D46" s="6">
        <v>1.2999999999999999E-2</v>
      </c>
      <c r="F46" s="22">
        <f t="shared" ref="F46:F50" si="12">A46</f>
        <v>0</v>
      </c>
      <c r="G46" s="10">
        <f t="shared" ref="G46:G50" si="13">ABS(C46)/($K$6-$I$6)</f>
        <v>0</v>
      </c>
      <c r="H46" s="42">
        <f>MAX(G46:G50)</f>
        <v>0</v>
      </c>
      <c r="I46" s="37"/>
      <c r="J46" s="37"/>
      <c r="K46" s="37"/>
    </row>
    <row r="47" spans="1:11" x14ac:dyDescent="0.15">
      <c r="A47" s="20">
        <v>0</v>
      </c>
      <c r="B47" s="20">
        <v>0</v>
      </c>
      <c r="C47" s="21">
        <f t="shared" ref="C47:C50" si="14">B47-A47</f>
        <v>0</v>
      </c>
      <c r="D47" s="6">
        <v>1.2999999999999999E-2</v>
      </c>
      <c r="F47" s="22">
        <f t="shared" si="12"/>
        <v>0</v>
      </c>
      <c r="G47" s="10">
        <f t="shared" si="13"/>
        <v>0</v>
      </c>
      <c r="H47" s="43"/>
      <c r="I47" s="37"/>
      <c r="J47" s="37"/>
      <c r="K47" s="37"/>
    </row>
    <row r="48" spans="1:11" x14ac:dyDescent="0.15">
      <c r="A48" s="20">
        <v>0</v>
      </c>
      <c r="B48" s="20">
        <v>0</v>
      </c>
      <c r="C48" s="21">
        <f t="shared" si="14"/>
        <v>0</v>
      </c>
      <c r="D48" s="6">
        <v>1.2999999999999999E-2</v>
      </c>
      <c r="F48" s="22">
        <f t="shared" si="12"/>
        <v>0</v>
      </c>
      <c r="G48" s="10">
        <f t="shared" si="13"/>
        <v>0</v>
      </c>
      <c r="H48" s="43"/>
      <c r="I48" s="37"/>
      <c r="J48" s="37"/>
      <c r="K48" s="37"/>
    </row>
    <row r="49" spans="1:11" x14ac:dyDescent="0.15">
      <c r="A49" s="20">
        <v>0</v>
      </c>
      <c r="B49" s="20">
        <v>0</v>
      </c>
      <c r="C49" s="21">
        <f t="shared" si="14"/>
        <v>0</v>
      </c>
      <c r="D49" s="6">
        <v>1.2999999999999999E-2</v>
      </c>
      <c r="F49" s="22">
        <f t="shared" si="12"/>
        <v>0</v>
      </c>
      <c r="G49" s="10">
        <f t="shared" si="13"/>
        <v>0</v>
      </c>
      <c r="H49" s="43"/>
      <c r="I49" s="37"/>
      <c r="J49" s="37"/>
      <c r="K49" s="37"/>
    </row>
    <row r="50" spans="1:11" x14ac:dyDescent="0.15">
      <c r="A50" s="20">
        <v>0</v>
      </c>
      <c r="B50" s="20">
        <v>0</v>
      </c>
      <c r="C50" s="21">
        <f t="shared" si="14"/>
        <v>0</v>
      </c>
      <c r="D50" s="6">
        <v>1.2999999999999999E-2</v>
      </c>
      <c r="F50" s="22">
        <f t="shared" si="12"/>
        <v>0</v>
      </c>
      <c r="G50" s="10">
        <f t="shared" si="13"/>
        <v>0</v>
      </c>
      <c r="H50" s="44"/>
      <c r="I50" s="37"/>
      <c r="J50" s="37"/>
      <c r="K50" s="37"/>
    </row>
    <row r="51" spans="1:11" x14ac:dyDescent="0.15">
      <c r="A51" s="28"/>
      <c r="B51" s="28"/>
      <c r="C51" s="29"/>
      <c r="D51" s="30"/>
      <c r="F51" s="31"/>
      <c r="G51" s="26"/>
      <c r="H51" s="26"/>
      <c r="I51" s="26"/>
      <c r="J51" s="26"/>
      <c r="K51" s="26"/>
    </row>
    <row r="52" spans="1:11" x14ac:dyDescent="0.15">
      <c r="A52" s="28"/>
      <c r="B52" s="28"/>
      <c r="C52" s="29"/>
      <c r="D52" s="30"/>
      <c r="F52" s="31"/>
      <c r="G52" s="26"/>
      <c r="H52" s="26"/>
      <c r="I52" s="26"/>
      <c r="J52" s="26"/>
      <c r="K52" s="26"/>
    </row>
    <row r="53" spans="1:11" x14ac:dyDescent="0.15">
      <c r="A53" s="7" t="s">
        <v>37</v>
      </c>
      <c r="B53" s="25" t="s">
        <v>9</v>
      </c>
      <c r="C53" s="8" t="s">
        <v>30</v>
      </c>
      <c r="D53" s="18" t="str">
        <f>$K$5</f>
        <v>psi</v>
      </c>
      <c r="F53" s="14" t="s">
        <v>37</v>
      </c>
      <c r="G53" s="9" t="str">
        <f>B53</f>
        <v>CH6</v>
      </c>
      <c r="H53" s="4"/>
      <c r="I53" s="8"/>
      <c r="J53" s="3"/>
      <c r="K53" s="9"/>
    </row>
    <row r="54" spans="1:11" ht="15" customHeight="1" x14ac:dyDescent="0.15">
      <c r="A54" s="35" t="s">
        <v>40</v>
      </c>
      <c r="B54" s="34" t="s">
        <v>43</v>
      </c>
      <c r="C54" s="46" t="s">
        <v>41</v>
      </c>
      <c r="D54" s="38" t="s">
        <v>3</v>
      </c>
      <c r="F54" s="33" t="s">
        <v>40</v>
      </c>
      <c r="G54" s="40" t="s">
        <v>42</v>
      </c>
      <c r="H54" s="39" t="s">
        <v>22</v>
      </c>
      <c r="I54" s="36" t="s">
        <v>39</v>
      </c>
      <c r="J54" s="36"/>
      <c r="K54" s="36"/>
    </row>
    <row r="55" spans="1:11" x14ac:dyDescent="0.15">
      <c r="A55" s="45"/>
      <c r="B55" s="35"/>
      <c r="C55" s="47"/>
      <c r="D55" s="38"/>
      <c r="F55" s="32" t="str">
        <f>"（"&amp;$K$5&amp;"）"</f>
        <v>（psi）</v>
      </c>
      <c r="G55" s="41"/>
      <c r="H55" s="39"/>
      <c r="I55" s="36"/>
      <c r="J55" s="36"/>
      <c r="K55" s="36"/>
    </row>
    <row r="56" spans="1:11" x14ac:dyDescent="0.15">
      <c r="A56" s="20">
        <v>0</v>
      </c>
      <c r="B56" s="20">
        <v>0</v>
      </c>
      <c r="C56" s="21">
        <f>B56-A56</f>
        <v>0</v>
      </c>
      <c r="D56" s="6">
        <v>1.2999999999999999E-2</v>
      </c>
      <c r="F56" s="22">
        <f t="shared" ref="F56:F60" si="15">A56</f>
        <v>0</v>
      </c>
      <c r="G56" s="10">
        <f t="shared" ref="G56:G60" si="16">ABS(C56)/($K$6-$I$6)</f>
        <v>0</v>
      </c>
      <c r="H56" s="42">
        <f>MAX(G56:G60)</f>
        <v>0</v>
      </c>
      <c r="I56" s="37"/>
      <c r="J56" s="37"/>
      <c r="K56" s="37"/>
    </row>
    <row r="57" spans="1:11" x14ac:dyDescent="0.15">
      <c r="A57" s="20">
        <v>0</v>
      </c>
      <c r="B57" s="20">
        <v>0</v>
      </c>
      <c r="C57" s="21">
        <f t="shared" ref="C57:C60" si="17">B57-A57</f>
        <v>0</v>
      </c>
      <c r="D57" s="6">
        <v>1.2999999999999999E-2</v>
      </c>
      <c r="F57" s="22">
        <f t="shared" si="15"/>
        <v>0</v>
      </c>
      <c r="G57" s="10">
        <f t="shared" si="16"/>
        <v>0</v>
      </c>
      <c r="H57" s="43"/>
      <c r="I57" s="37"/>
      <c r="J57" s="37"/>
      <c r="K57" s="37"/>
    </row>
    <row r="58" spans="1:11" x14ac:dyDescent="0.15">
      <c r="A58" s="20">
        <v>0</v>
      </c>
      <c r="B58" s="20">
        <v>0</v>
      </c>
      <c r="C58" s="21">
        <f t="shared" si="17"/>
        <v>0</v>
      </c>
      <c r="D58" s="6">
        <v>1.2999999999999999E-2</v>
      </c>
      <c r="F58" s="22">
        <f t="shared" si="15"/>
        <v>0</v>
      </c>
      <c r="G58" s="10">
        <f t="shared" si="16"/>
        <v>0</v>
      </c>
      <c r="H58" s="43"/>
      <c r="I58" s="37"/>
      <c r="J58" s="37"/>
      <c r="K58" s="37"/>
    </row>
    <row r="59" spans="1:11" x14ac:dyDescent="0.15">
      <c r="A59" s="20">
        <v>0</v>
      </c>
      <c r="B59" s="20">
        <v>0</v>
      </c>
      <c r="C59" s="21">
        <f t="shared" si="17"/>
        <v>0</v>
      </c>
      <c r="D59" s="6">
        <v>1.2999999999999999E-2</v>
      </c>
      <c r="F59" s="22">
        <f t="shared" si="15"/>
        <v>0</v>
      </c>
      <c r="G59" s="10">
        <f t="shared" si="16"/>
        <v>0</v>
      </c>
      <c r="H59" s="43"/>
      <c r="I59" s="37"/>
      <c r="J59" s="37"/>
      <c r="K59" s="37"/>
    </row>
    <row r="60" spans="1:11" x14ac:dyDescent="0.15">
      <c r="A60" s="20">
        <v>0</v>
      </c>
      <c r="B60" s="20">
        <v>0</v>
      </c>
      <c r="C60" s="21">
        <f t="shared" si="17"/>
        <v>0</v>
      </c>
      <c r="D60" s="6">
        <v>1.2999999999999999E-2</v>
      </c>
      <c r="F60" s="22">
        <f t="shared" si="15"/>
        <v>0</v>
      </c>
      <c r="G60" s="10">
        <f t="shared" si="16"/>
        <v>0</v>
      </c>
      <c r="H60" s="44"/>
      <c r="I60" s="37"/>
      <c r="J60" s="37"/>
      <c r="K60" s="37"/>
    </row>
    <row r="61" spans="1:11" ht="8.25" customHeight="1" x14ac:dyDescent="0.15"/>
    <row r="62" spans="1:11" x14ac:dyDescent="0.15">
      <c r="A62" s="7" t="s">
        <v>37</v>
      </c>
      <c r="B62" s="25" t="s">
        <v>10</v>
      </c>
      <c r="C62" s="8" t="s">
        <v>30</v>
      </c>
      <c r="D62" s="18" t="str">
        <f>$K$5</f>
        <v>psi</v>
      </c>
      <c r="F62" s="14" t="s">
        <v>37</v>
      </c>
      <c r="G62" s="9" t="str">
        <f>B62</f>
        <v>CH7</v>
      </c>
      <c r="H62" s="4"/>
      <c r="I62" s="8"/>
      <c r="J62" s="3"/>
      <c r="K62" s="9"/>
    </row>
    <row r="63" spans="1:11" ht="15" customHeight="1" x14ac:dyDescent="0.15">
      <c r="A63" s="35" t="s">
        <v>40</v>
      </c>
      <c r="B63" s="34" t="s">
        <v>43</v>
      </c>
      <c r="C63" s="46" t="s">
        <v>41</v>
      </c>
      <c r="D63" s="38" t="s">
        <v>3</v>
      </c>
      <c r="F63" s="33" t="s">
        <v>40</v>
      </c>
      <c r="G63" s="40" t="s">
        <v>42</v>
      </c>
      <c r="H63" s="39" t="s">
        <v>22</v>
      </c>
      <c r="I63" s="36" t="s">
        <v>39</v>
      </c>
      <c r="J63" s="36"/>
      <c r="K63" s="36"/>
    </row>
    <row r="64" spans="1:11" x14ac:dyDescent="0.15">
      <c r="A64" s="45"/>
      <c r="B64" s="35"/>
      <c r="C64" s="47"/>
      <c r="D64" s="38"/>
      <c r="F64" s="32" t="str">
        <f>"（"&amp;$K$5&amp;"）"</f>
        <v>（psi）</v>
      </c>
      <c r="G64" s="41"/>
      <c r="H64" s="39"/>
      <c r="I64" s="36"/>
      <c r="J64" s="36"/>
      <c r="K64" s="36"/>
    </row>
    <row r="65" spans="1:11" x14ac:dyDescent="0.15">
      <c r="A65" s="20">
        <v>0</v>
      </c>
      <c r="B65" s="20">
        <v>0</v>
      </c>
      <c r="C65" s="21">
        <f>B65-A65</f>
        <v>0</v>
      </c>
      <c r="D65" s="6">
        <v>1.2999999999999999E-2</v>
      </c>
      <c r="F65" s="22">
        <f t="shared" ref="F65:F69" si="18">A65</f>
        <v>0</v>
      </c>
      <c r="G65" s="10">
        <f t="shared" ref="G65:G69" si="19">ABS(C65)/($K$6-$I$6)</f>
        <v>0</v>
      </c>
      <c r="H65" s="42">
        <f>MAX(G65:G69)</f>
        <v>0</v>
      </c>
      <c r="I65" s="37"/>
      <c r="J65" s="37"/>
      <c r="K65" s="37"/>
    </row>
    <row r="66" spans="1:11" x14ac:dyDescent="0.15">
      <c r="A66" s="20">
        <v>0</v>
      </c>
      <c r="B66" s="20">
        <v>0</v>
      </c>
      <c r="C66" s="21">
        <f t="shared" ref="C66:C69" si="20">B66-A66</f>
        <v>0</v>
      </c>
      <c r="D66" s="6">
        <v>1.2999999999999999E-2</v>
      </c>
      <c r="F66" s="22">
        <f t="shared" si="18"/>
        <v>0</v>
      </c>
      <c r="G66" s="10">
        <f t="shared" si="19"/>
        <v>0</v>
      </c>
      <c r="H66" s="43"/>
      <c r="I66" s="37"/>
      <c r="J66" s="37"/>
      <c r="K66" s="37"/>
    </row>
    <row r="67" spans="1:11" x14ac:dyDescent="0.15">
      <c r="A67" s="20">
        <v>0</v>
      </c>
      <c r="B67" s="20">
        <v>0</v>
      </c>
      <c r="C67" s="21">
        <f t="shared" si="20"/>
        <v>0</v>
      </c>
      <c r="D67" s="6">
        <v>1.2999999999999999E-2</v>
      </c>
      <c r="F67" s="22">
        <f t="shared" si="18"/>
        <v>0</v>
      </c>
      <c r="G67" s="10">
        <f t="shared" si="19"/>
        <v>0</v>
      </c>
      <c r="H67" s="43"/>
      <c r="I67" s="37"/>
      <c r="J67" s="37"/>
      <c r="K67" s="37"/>
    </row>
    <row r="68" spans="1:11" x14ac:dyDescent="0.15">
      <c r="A68" s="20">
        <v>0</v>
      </c>
      <c r="B68" s="20">
        <v>0</v>
      </c>
      <c r="C68" s="21">
        <f t="shared" si="20"/>
        <v>0</v>
      </c>
      <c r="D68" s="6">
        <v>1.2999999999999999E-2</v>
      </c>
      <c r="F68" s="22">
        <f t="shared" si="18"/>
        <v>0</v>
      </c>
      <c r="G68" s="10">
        <f t="shared" si="19"/>
        <v>0</v>
      </c>
      <c r="H68" s="43"/>
      <c r="I68" s="37"/>
      <c r="J68" s="37"/>
      <c r="K68" s="37"/>
    </row>
    <row r="69" spans="1:11" x14ac:dyDescent="0.15">
      <c r="A69" s="20">
        <v>0</v>
      </c>
      <c r="B69" s="20">
        <v>0</v>
      </c>
      <c r="C69" s="21">
        <f t="shared" si="20"/>
        <v>0</v>
      </c>
      <c r="D69" s="6">
        <v>1.2999999999999999E-2</v>
      </c>
      <c r="F69" s="22">
        <f t="shared" si="18"/>
        <v>0</v>
      </c>
      <c r="G69" s="10">
        <f t="shared" si="19"/>
        <v>0</v>
      </c>
      <c r="H69" s="44"/>
      <c r="I69" s="37"/>
      <c r="J69" s="37"/>
      <c r="K69" s="37"/>
    </row>
    <row r="70" spans="1:11" ht="8.25" customHeight="1" x14ac:dyDescent="0.15"/>
    <row r="71" spans="1:11" x14ac:dyDescent="0.15">
      <c r="A71" s="7" t="s">
        <v>37</v>
      </c>
      <c r="B71" s="25" t="s">
        <v>11</v>
      </c>
      <c r="C71" s="8" t="s">
        <v>30</v>
      </c>
      <c r="D71" s="18" t="str">
        <f>$K$5</f>
        <v>psi</v>
      </c>
      <c r="F71" s="14" t="s">
        <v>37</v>
      </c>
      <c r="G71" s="9" t="str">
        <f>B71</f>
        <v>CH8</v>
      </c>
      <c r="H71" s="4"/>
      <c r="I71" s="8"/>
      <c r="J71" s="3"/>
      <c r="K71" s="9"/>
    </row>
    <row r="72" spans="1:11" ht="15" customHeight="1" x14ac:dyDescent="0.15">
      <c r="A72" s="35" t="s">
        <v>40</v>
      </c>
      <c r="B72" s="34" t="s">
        <v>43</v>
      </c>
      <c r="C72" s="46" t="s">
        <v>41</v>
      </c>
      <c r="D72" s="38" t="s">
        <v>3</v>
      </c>
      <c r="F72" s="33" t="s">
        <v>40</v>
      </c>
      <c r="G72" s="40" t="s">
        <v>42</v>
      </c>
      <c r="H72" s="39" t="s">
        <v>22</v>
      </c>
      <c r="I72" s="36" t="s">
        <v>39</v>
      </c>
      <c r="J72" s="36"/>
      <c r="K72" s="36"/>
    </row>
    <row r="73" spans="1:11" x14ac:dyDescent="0.15">
      <c r="A73" s="45"/>
      <c r="B73" s="35"/>
      <c r="C73" s="47"/>
      <c r="D73" s="38"/>
      <c r="F73" s="32" t="str">
        <f>"（"&amp;$K$5&amp;"）"</f>
        <v>（psi）</v>
      </c>
      <c r="G73" s="41"/>
      <c r="H73" s="39"/>
      <c r="I73" s="36"/>
      <c r="J73" s="36"/>
      <c r="K73" s="36"/>
    </row>
    <row r="74" spans="1:11" x14ac:dyDescent="0.15">
      <c r="A74" s="20">
        <v>0</v>
      </c>
      <c r="B74" s="20">
        <v>0</v>
      </c>
      <c r="C74" s="21">
        <f>B74-A74</f>
        <v>0</v>
      </c>
      <c r="D74" s="6">
        <v>1.2999999999999999E-2</v>
      </c>
      <c r="F74" s="22">
        <f t="shared" ref="F74:F78" si="21">A74</f>
        <v>0</v>
      </c>
      <c r="G74" s="10">
        <f t="shared" ref="G74:G78" si="22">ABS(C74)/($K$6-$I$6)</f>
        <v>0</v>
      </c>
      <c r="H74" s="42">
        <f>MAX(G74:G78)</f>
        <v>0</v>
      </c>
      <c r="I74" s="37"/>
      <c r="J74" s="37"/>
      <c r="K74" s="37"/>
    </row>
    <row r="75" spans="1:11" x14ac:dyDescent="0.15">
      <c r="A75" s="20">
        <v>0</v>
      </c>
      <c r="B75" s="20">
        <v>0</v>
      </c>
      <c r="C75" s="21">
        <f t="shared" ref="C75:C78" si="23">B75-A75</f>
        <v>0</v>
      </c>
      <c r="D75" s="6">
        <v>1.2999999999999999E-2</v>
      </c>
      <c r="F75" s="22">
        <f t="shared" si="21"/>
        <v>0</v>
      </c>
      <c r="G75" s="10">
        <f t="shared" si="22"/>
        <v>0</v>
      </c>
      <c r="H75" s="43"/>
      <c r="I75" s="37"/>
      <c r="J75" s="37"/>
      <c r="K75" s="37"/>
    </row>
    <row r="76" spans="1:11" x14ac:dyDescent="0.15">
      <c r="A76" s="20">
        <v>0</v>
      </c>
      <c r="B76" s="20">
        <v>0</v>
      </c>
      <c r="C76" s="21">
        <f t="shared" si="23"/>
        <v>0</v>
      </c>
      <c r="D76" s="6">
        <v>1.2999999999999999E-2</v>
      </c>
      <c r="F76" s="22">
        <f t="shared" si="21"/>
        <v>0</v>
      </c>
      <c r="G76" s="10">
        <f t="shared" si="22"/>
        <v>0</v>
      </c>
      <c r="H76" s="43"/>
      <c r="I76" s="37"/>
      <c r="J76" s="37"/>
      <c r="K76" s="37"/>
    </row>
    <row r="77" spans="1:11" x14ac:dyDescent="0.15">
      <c r="A77" s="20">
        <v>0</v>
      </c>
      <c r="B77" s="20">
        <v>0</v>
      </c>
      <c r="C77" s="21">
        <f t="shared" si="23"/>
        <v>0</v>
      </c>
      <c r="D77" s="6">
        <v>1.2999999999999999E-2</v>
      </c>
      <c r="F77" s="22">
        <f t="shared" si="21"/>
        <v>0</v>
      </c>
      <c r="G77" s="10">
        <f t="shared" si="22"/>
        <v>0</v>
      </c>
      <c r="H77" s="43"/>
      <c r="I77" s="37"/>
      <c r="J77" s="37"/>
      <c r="K77" s="37"/>
    </row>
    <row r="78" spans="1:11" x14ac:dyDescent="0.15">
      <c r="A78" s="20">
        <v>0</v>
      </c>
      <c r="B78" s="20">
        <v>0</v>
      </c>
      <c r="C78" s="21">
        <f t="shared" si="23"/>
        <v>0</v>
      </c>
      <c r="D78" s="6">
        <v>1.2999999999999999E-2</v>
      </c>
      <c r="F78" s="22">
        <f t="shared" si="21"/>
        <v>0</v>
      </c>
      <c r="G78" s="10">
        <f t="shared" si="22"/>
        <v>0</v>
      </c>
      <c r="H78" s="44"/>
      <c r="I78" s="37"/>
      <c r="J78" s="37"/>
      <c r="K78" s="37"/>
    </row>
    <row r="79" spans="1:11" ht="7.5" customHeight="1" x14ac:dyDescent="0.15">
      <c r="A79" s="28"/>
      <c r="B79" s="28"/>
      <c r="C79" s="29"/>
      <c r="D79" s="30"/>
      <c r="F79" s="31"/>
      <c r="G79" s="26"/>
      <c r="H79" s="26"/>
      <c r="I79" s="26"/>
      <c r="J79" s="26"/>
      <c r="K79" s="26"/>
    </row>
    <row r="80" spans="1:11" x14ac:dyDescent="0.15">
      <c r="A80" s="7" t="s">
        <v>37</v>
      </c>
      <c r="B80" s="25" t="s">
        <v>12</v>
      </c>
      <c r="C80" s="8" t="s">
        <v>30</v>
      </c>
      <c r="D80" s="18" t="str">
        <f>$K$5</f>
        <v>psi</v>
      </c>
      <c r="F80" s="14" t="s">
        <v>37</v>
      </c>
      <c r="G80" s="9" t="str">
        <f>B80</f>
        <v>CH9</v>
      </c>
      <c r="H80" s="4"/>
      <c r="I80" s="8"/>
      <c r="J80" s="3"/>
      <c r="K80" s="9"/>
    </row>
    <row r="81" spans="1:11" ht="15" customHeight="1" x14ac:dyDescent="0.15">
      <c r="A81" s="35" t="s">
        <v>40</v>
      </c>
      <c r="B81" s="34" t="s">
        <v>43</v>
      </c>
      <c r="C81" s="46" t="s">
        <v>41</v>
      </c>
      <c r="D81" s="38" t="s">
        <v>3</v>
      </c>
      <c r="F81" s="33" t="s">
        <v>40</v>
      </c>
      <c r="G81" s="40" t="s">
        <v>42</v>
      </c>
      <c r="H81" s="39" t="s">
        <v>22</v>
      </c>
      <c r="I81" s="36" t="s">
        <v>39</v>
      </c>
      <c r="J81" s="36"/>
      <c r="K81" s="36"/>
    </row>
    <row r="82" spans="1:11" x14ac:dyDescent="0.15">
      <c r="A82" s="45"/>
      <c r="B82" s="35"/>
      <c r="C82" s="47"/>
      <c r="D82" s="38"/>
      <c r="F82" s="32" t="str">
        <f>"（"&amp;$K$5&amp;"）"</f>
        <v>（psi）</v>
      </c>
      <c r="G82" s="41"/>
      <c r="H82" s="39"/>
      <c r="I82" s="36"/>
      <c r="J82" s="36"/>
      <c r="K82" s="36"/>
    </row>
    <row r="83" spans="1:11" x14ac:dyDescent="0.15">
      <c r="A83" s="20">
        <v>0</v>
      </c>
      <c r="B83" s="20">
        <v>0</v>
      </c>
      <c r="C83" s="21">
        <f>B83-A83</f>
        <v>0</v>
      </c>
      <c r="D83" s="6">
        <v>1.2999999999999999E-2</v>
      </c>
      <c r="F83" s="22">
        <f t="shared" ref="F83:F87" si="24">A83</f>
        <v>0</v>
      </c>
      <c r="G83" s="10">
        <f t="shared" ref="G83:G87" si="25">ABS(C83)/($K$6-$I$6)</f>
        <v>0</v>
      </c>
      <c r="H83" s="42">
        <f>MAX(G83:G87)</f>
        <v>0</v>
      </c>
      <c r="I83" s="37"/>
      <c r="J83" s="37"/>
      <c r="K83" s="37"/>
    </row>
    <row r="84" spans="1:11" x14ac:dyDescent="0.15">
      <c r="A84" s="20">
        <v>0</v>
      </c>
      <c r="B84" s="20">
        <v>0</v>
      </c>
      <c r="C84" s="21">
        <f t="shared" ref="C84:C87" si="26">B84-A84</f>
        <v>0</v>
      </c>
      <c r="D84" s="6">
        <v>1.2999999999999999E-2</v>
      </c>
      <c r="F84" s="22">
        <f t="shared" si="24"/>
        <v>0</v>
      </c>
      <c r="G84" s="10">
        <f t="shared" si="25"/>
        <v>0</v>
      </c>
      <c r="H84" s="43"/>
      <c r="I84" s="37"/>
      <c r="J84" s="37"/>
      <c r="K84" s="37"/>
    </row>
    <row r="85" spans="1:11" x14ac:dyDescent="0.15">
      <c r="A85" s="20">
        <v>0</v>
      </c>
      <c r="B85" s="20">
        <v>0</v>
      </c>
      <c r="C85" s="21">
        <f t="shared" si="26"/>
        <v>0</v>
      </c>
      <c r="D85" s="6">
        <v>1.2999999999999999E-2</v>
      </c>
      <c r="F85" s="22">
        <f t="shared" si="24"/>
        <v>0</v>
      </c>
      <c r="G85" s="10">
        <f t="shared" si="25"/>
        <v>0</v>
      </c>
      <c r="H85" s="43"/>
      <c r="I85" s="37"/>
      <c r="J85" s="37"/>
      <c r="K85" s="37"/>
    </row>
    <row r="86" spans="1:11" x14ac:dyDescent="0.15">
      <c r="A86" s="20">
        <v>0</v>
      </c>
      <c r="B86" s="20">
        <v>0</v>
      </c>
      <c r="C86" s="21">
        <f t="shared" si="26"/>
        <v>0</v>
      </c>
      <c r="D86" s="6">
        <v>1.2999999999999999E-2</v>
      </c>
      <c r="F86" s="22">
        <f t="shared" si="24"/>
        <v>0</v>
      </c>
      <c r="G86" s="10">
        <f t="shared" si="25"/>
        <v>0</v>
      </c>
      <c r="H86" s="43"/>
      <c r="I86" s="37"/>
      <c r="J86" s="37"/>
      <c r="K86" s="37"/>
    </row>
    <row r="87" spans="1:11" x14ac:dyDescent="0.15">
      <c r="A87" s="20">
        <v>0</v>
      </c>
      <c r="B87" s="20">
        <v>0</v>
      </c>
      <c r="C87" s="21">
        <f t="shared" si="26"/>
        <v>0</v>
      </c>
      <c r="D87" s="6">
        <v>1.2999999999999999E-2</v>
      </c>
      <c r="F87" s="22">
        <f t="shared" si="24"/>
        <v>0</v>
      </c>
      <c r="G87" s="10">
        <f t="shared" si="25"/>
        <v>0</v>
      </c>
      <c r="H87" s="44"/>
      <c r="I87" s="37"/>
      <c r="J87" s="37"/>
      <c r="K87" s="37"/>
    </row>
    <row r="88" spans="1:11" ht="6.75" customHeight="1" x14ac:dyDescent="0.15"/>
    <row r="89" spans="1:11" x14ac:dyDescent="0.15">
      <c r="A89" s="7" t="s">
        <v>37</v>
      </c>
      <c r="B89" s="25" t="s">
        <v>13</v>
      </c>
      <c r="C89" s="8" t="s">
        <v>30</v>
      </c>
      <c r="D89" s="18" t="str">
        <f>$K$5</f>
        <v>psi</v>
      </c>
      <c r="F89" s="14" t="s">
        <v>37</v>
      </c>
      <c r="G89" s="9" t="str">
        <f>B89</f>
        <v>CH10</v>
      </c>
      <c r="H89" s="4"/>
      <c r="I89" s="8"/>
      <c r="J89" s="3"/>
      <c r="K89" s="9"/>
    </row>
    <row r="90" spans="1:11" ht="15" customHeight="1" x14ac:dyDescent="0.15">
      <c r="A90" s="35" t="s">
        <v>40</v>
      </c>
      <c r="B90" s="34" t="s">
        <v>43</v>
      </c>
      <c r="C90" s="46" t="s">
        <v>41</v>
      </c>
      <c r="D90" s="38" t="s">
        <v>3</v>
      </c>
      <c r="F90" s="33" t="s">
        <v>40</v>
      </c>
      <c r="G90" s="40" t="s">
        <v>42</v>
      </c>
      <c r="H90" s="39" t="s">
        <v>22</v>
      </c>
      <c r="I90" s="36" t="s">
        <v>39</v>
      </c>
      <c r="J90" s="36"/>
      <c r="K90" s="36"/>
    </row>
    <row r="91" spans="1:11" x14ac:dyDescent="0.15">
      <c r="A91" s="45"/>
      <c r="B91" s="35"/>
      <c r="C91" s="47"/>
      <c r="D91" s="38"/>
      <c r="F91" s="32" t="str">
        <f>"（"&amp;$K$5&amp;"）"</f>
        <v>（psi）</v>
      </c>
      <c r="G91" s="41"/>
      <c r="H91" s="39"/>
      <c r="I91" s="36"/>
      <c r="J91" s="36"/>
      <c r="K91" s="36"/>
    </row>
    <row r="92" spans="1:11" x14ac:dyDescent="0.15">
      <c r="A92" s="20">
        <v>0</v>
      </c>
      <c r="B92" s="20">
        <v>0</v>
      </c>
      <c r="C92" s="21">
        <f>B92-A92</f>
        <v>0</v>
      </c>
      <c r="D92" s="6">
        <v>1.2999999999999999E-2</v>
      </c>
      <c r="F92" s="22">
        <f t="shared" ref="F92:F96" si="27">A92</f>
        <v>0</v>
      </c>
      <c r="G92" s="10">
        <f t="shared" ref="G92:G96" si="28">ABS(C92)/($K$6-$I$6)</f>
        <v>0</v>
      </c>
      <c r="H92" s="42">
        <f>MAX(G92:G96)</f>
        <v>0</v>
      </c>
      <c r="I92" s="37"/>
      <c r="J92" s="37"/>
      <c r="K92" s="37"/>
    </row>
    <row r="93" spans="1:11" x14ac:dyDescent="0.15">
      <c r="A93" s="20">
        <v>0</v>
      </c>
      <c r="B93" s="20">
        <v>0</v>
      </c>
      <c r="C93" s="21">
        <f t="shared" ref="C93:C96" si="29">B93-A93</f>
        <v>0</v>
      </c>
      <c r="D93" s="6">
        <v>1.2999999999999999E-2</v>
      </c>
      <c r="F93" s="22">
        <f t="shared" si="27"/>
        <v>0</v>
      </c>
      <c r="G93" s="10">
        <f t="shared" si="28"/>
        <v>0</v>
      </c>
      <c r="H93" s="43"/>
      <c r="I93" s="37"/>
      <c r="J93" s="37"/>
      <c r="K93" s="37"/>
    </row>
    <row r="94" spans="1:11" x14ac:dyDescent="0.15">
      <c r="A94" s="20">
        <v>0</v>
      </c>
      <c r="B94" s="20">
        <v>0</v>
      </c>
      <c r="C94" s="21">
        <f t="shared" si="29"/>
        <v>0</v>
      </c>
      <c r="D94" s="6">
        <v>1.2999999999999999E-2</v>
      </c>
      <c r="F94" s="22">
        <f t="shared" si="27"/>
        <v>0</v>
      </c>
      <c r="G94" s="10">
        <f t="shared" si="28"/>
        <v>0</v>
      </c>
      <c r="H94" s="43"/>
      <c r="I94" s="37"/>
      <c r="J94" s="37"/>
      <c r="K94" s="37"/>
    </row>
    <row r="95" spans="1:11" x14ac:dyDescent="0.15">
      <c r="A95" s="20">
        <v>0</v>
      </c>
      <c r="B95" s="20">
        <v>0</v>
      </c>
      <c r="C95" s="21">
        <f t="shared" si="29"/>
        <v>0</v>
      </c>
      <c r="D95" s="6">
        <v>1.2999999999999999E-2</v>
      </c>
      <c r="F95" s="22">
        <f t="shared" si="27"/>
        <v>0</v>
      </c>
      <c r="G95" s="10">
        <f t="shared" si="28"/>
        <v>0</v>
      </c>
      <c r="H95" s="43"/>
      <c r="I95" s="37"/>
      <c r="J95" s="37"/>
      <c r="K95" s="37"/>
    </row>
    <row r="96" spans="1:11" x14ac:dyDescent="0.15">
      <c r="A96" s="20">
        <v>0</v>
      </c>
      <c r="B96" s="20">
        <v>0</v>
      </c>
      <c r="C96" s="21">
        <f t="shared" si="29"/>
        <v>0</v>
      </c>
      <c r="D96" s="6">
        <v>1.2999999999999999E-2</v>
      </c>
      <c r="F96" s="22">
        <f t="shared" si="27"/>
        <v>0</v>
      </c>
      <c r="G96" s="10">
        <f t="shared" si="28"/>
        <v>0</v>
      </c>
      <c r="H96" s="44"/>
      <c r="I96" s="37"/>
      <c r="J96" s="37"/>
      <c r="K96" s="37"/>
    </row>
    <row r="97" spans="1:11" x14ac:dyDescent="0.15">
      <c r="A97" s="28"/>
      <c r="B97" s="28"/>
      <c r="C97" s="29"/>
      <c r="D97" s="30"/>
      <c r="F97" s="31"/>
      <c r="G97" s="26"/>
      <c r="H97" s="26"/>
      <c r="I97" s="26"/>
      <c r="J97" s="26"/>
      <c r="K97" s="26"/>
    </row>
    <row r="98" spans="1:11" x14ac:dyDescent="0.15">
      <c r="A98" s="28"/>
      <c r="B98" s="28"/>
      <c r="C98" s="29"/>
      <c r="D98" s="30"/>
      <c r="F98" s="31"/>
      <c r="G98" s="26"/>
      <c r="H98" s="26"/>
      <c r="I98" s="26"/>
      <c r="J98" s="26"/>
      <c r="K98" s="26"/>
    </row>
    <row r="99" spans="1:11" x14ac:dyDescent="0.15">
      <c r="A99" s="7" t="s">
        <v>37</v>
      </c>
      <c r="B99" s="25" t="s">
        <v>14</v>
      </c>
      <c r="C99" s="8" t="s">
        <v>30</v>
      </c>
      <c r="D99" s="18" t="str">
        <f>$K$5</f>
        <v>psi</v>
      </c>
      <c r="F99" s="14" t="s">
        <v>37</v>
      </c>
      <c r="G99" s="9" t="str">
        <f>B99</f>
        <v>CH11</v>
      </c>
      <c r="H99" s="4"/>
      <c r="I99" s="8"/>
      <c r="J99" s="3"/>
      <c r="K99" s="9"/>
    </row>
    <row r="100" spans="1:11" ht="15" customHeight="1" x14ac:dyDescent="0.15">
      <c r="A100" s="35" t="s">
        <v>40</v>
      </c>
      <c r="B100" s="34" t="s">
        <v>43</v>
      </c>
      <c r="C100" s="46" t="s">
        <v>41</v>
      </c>
      <c r="D100" s="38" t="s">
        <v>3</v>
      </c>
      <c r="F100" s="33" t="s">
        <v>40</v>
      </c>
      <c r="G100" s="40" t="s">
        <v>42</v>
      </c>
      <c r="H100" s="39" t="s">
        <v>22</v>
      </c>
      <c r="I100" s="36" t="s">
        <v>39</v>
      </c>
      <c r="J100" s="36"/>
      <c r="K100" s="36"/>
    </row>
    <row r="101" spans="1:11" x14ac:dyDescent="0.15">
      <c r="A101" s="45"/>
      <c r="B101" s="35"/>
      <c r="C101" s="47"/>
      <c r="D101" s="38"/>
      <c r="F101" s="32" t="str">
        <f>"（"&amp;$K$5&amp;"）"</f>
        <v>（psi）</v>
      </c>
      <c r="G101" s="41"/>
      <c r="H101" s="39"/>
      <c r="I101" s="36"/>
      <c r="J101" s="36"/>
      <c r="K101" s="36"/>
    </row>
    <row r="102" spans="1:11" x14ac:dyDescent="0.15">
      <c r="A102" s="20">
        <v>0</v>
      </c>
      <c r="B102" s="20">
        <v>0</v>
      </c>
      <c r="C102" s="21">
        <f>B102-A102</f>
        <v>0</v>
      </c>
      <c r="D102" s="6">
        <v>1.2999999999999999E-2</v>
      </c>
      <c r="F102" s="22">
        <f t="shared" ref="F102:F106" si="30">A102</f>
        <v>0</v>
      </c>
      <c r="G102" s="10">
        <f t="shared" ref="G102:G106" si="31">ABS(C102)/($K$6-$I$6)</f>
        <v>0</v>
      </c>
      <c r="H102" s="42">
        <f>MAX(G102:G106)</f>
        <v>0</v>
      </c>
      <c r="I102" s="37"/>
      <c r="J102" s="37"/>
      <c r="K102" s="37"/>
    </row>
    <row r="103" spans="1:11" x14ac:dyDescent="0.15">
      <c r="A103" s="20">
        <v>0</v>
      </c>
      <c r="B103" s="20">
        <v>0</v>
      </c>
      <c r="C103" s="21">
        <f t="shared" ref="C103:C106" si="32">B103-A103</f>
        <v>0</v>
      </c>
      <c r="D103" s="6">
        <v>1.2999999999999999E-2</v>
      </c>
      <c r="F103" s="22">
        <f t="shared" si="30"/>
        <v>0</v>
      </c>
      <c r="G103" s="10">
        <f t="shared" si="31"/>
        <v>0</v>
      </c>
      <c r="H103" s="43"/>
      <c r="I103" s="37"/>
      <c r="J103" s="37"/>
      <c r="K103" s="37"/>
    </row>
    <row r="104" spans="1:11" x14ac:dyDescent="0.15">
      <c r="A104" s="20">
        <v>0</v>
      </c>
      <c r="B104" s="20">
        <v>0</v>
      </c>
      <c r="C104" s="21">
        <f t="shared" si="32"/>
        <v>0</v>
      </c>
      <c r="D104" s="6">
        <v>1.2999999999999999E-2</v>
      </c>
      <c r="F104" s="22">
        <f t="shared" si="30"/>
        <v>0</v>
      </c>
      <c r="G104" s="10">
        <f t="shared" si="31"/>
        <v>0</v>
      </c>
      <c r="H104" s="43"/>
      <c r="I104" s="37"/>
      <c r="J104" s="37"/>
      <c r="K104" s="37"/>
    </row>
    <row r="105" spans="1:11" x14ac:dyDescent="0.15">
      <c r="A105" s="20">
        <v>0</v>
      </c>
      <c r="B105" s="20">
        <v>0</v>
      </c>
      <c r="C105" s="21">
        <f t="shared" si="32"/>
        <v>0</v>
      </c>
      <c r="D105" s="6">
        <v>1.2999999999999999E-2</v>
      </c>
      <c r="F105" s="22">
        <f t="shared" si="30"/>
        <v>0</v>
      </c>
      <c r="G105" s="10">
        <f t="shared" si="31"/>
        <v>0</v>
      </c>
      <c r="H105" s="43"/>
      <c r="I105" s="37"/>
      <c r="J105" s="37"/>
      <c r="K105" s="37"/>
    </row>
    <row r="106" spans="1:11" x14ac:dyDescent="0.15">
      <c r="A106" s="20">
        <v>0</v>
      </c>
      <c r="B106" s="20">
        <v>0</v>
      </c>
      <c r="C106" s="21">
        <f t="shared" si="32"/>
        <v>0</v>
      </c>
      <c r="D106" s="6">
        <v>1.2999999999999999E-2</v>
      </c>
      <c r="F106" s="22">
        <f t="shared" si="30"/>
        <v>0</v>
      </c>
      <c r="G106" s="10">
        <f t="shared" si="31"/>
        <v>0</v>
      </c>
      <c r="H106" s="44"/>
      <c r="I106" s="37"/>
      <c r="J106" s="37"/>
      <c r="K106" s="37"/>
    </row>
    <row r="107" spans="1:11" ht="8.25" customHeight="1" x14ac:dyDescent="0.15"/>
    <row r="108" spans="1:11" x14ac:dyDescent="0.15">
      <c r="A108" s="7" t="s">
        <v>37</v>
      </c>
      <c r="B108" s="25" t="s">
        <v>15</v>
      </c>
      <c r="C108" s="8" t="s">
        <v>30</v>
      </c>
      <c r="D108" s="18" t="str">
        <f>$K$5</f>
        <v>psi</v>
      </c>
      <c r="F108" s="14" t="s">
        <v>37</v>
      </c>
      <c r="G108" s="9" t="str">
        <f>B108</f>
        <v>CH12</v>
      </c>
      <c r="H108" s="4"/>
      <c r="I108" s="8"/>
      <c r="J108" s="3"/>
      <c r="K108" s="9"/>
    </row>
    <row r="109" spans="1:11" ht="15" customHeight="1" x14ac:dyDescent="0.15">
      <c r="A109" s="35" t="s">
        <v>40</v>
      </c>
      <c r="B109" s="34" t="s">
        <v>43</v>
      </c>
      <c r="C109" s="46" t="s">
        <v>41</v>
      </c>
      <c r="D109" s="38" t="s">
        <v>3</v>
      </c>
      <c r="F109" s="33" t="s">
        <v>40</v>
      </c>
      <c r="G109" s="40" t="s">
        <v>42</v>
      </c>
      <c r="H109" s="39" t="s">
        <v>22</v>
      </c>
      <c r="I109" s="36" t="s">
        <v>39</v>
      </c>
      <c r="J109" s="36"/>
      <c r="K109" s="36"/>
    </row>
    <row r="110" spans="1:11" x14ac:dyDescent="0.15">
      <c r="A110" s="45"/>
      <c r="B110" s="35"/>
      <c r="C110" s="47"/>
      <c r="D110" s="38"/>
      <c r="F110" s="32" t="str">
        <f>"（"&amp;$K$5&amp;"）"</f>
        <v>（psi）</v>
      </c>
      <c r="G110" s="41"/>
      <c r="H110" s="39"/>
      <c r="I110" s="36"/>
      <c r="J110" s="36"/>
      <c r="K110" s="36"/>
    </row>
    <row r="111" spans="1:11" x14ac:dyDescent="0.15">
      <c r="A111" s="20">
        <v>0</v>
      </c>
      <c r="B111" s="20">
        <v>0</v>
      </c>
      <c r="C111" s="21">
        <f>B111-A111</f>
        <v>0</v>
      </c>
      <c r="D111" s="6">
        <v>1.2999999999999999E-2</v>
      </c>
      <c r="F111" s="22">
        <f t="shared" ref="F111:F115" si="33">A111</f>
        <v>0</v>
      </c>
      <c r="G111" s="10">
        <f t="shared" ref="G111:G115" si="34">ABS(C111)/($K$6-$I$6)</f>
        <v>0</v>
      </c>
      <c r="H111" s="42">
        <f>MAX(G111:G115)</f>
        <v>0</v>
      </c>
      <c r="I111" s="37"/>
      <c r="J111" s="37"/>
      <c r="K111" s="37"/>
    </row>
    <row r="112" spans="1:11" x14ac:dyDescent="0.15">
      <c r="A112" s="20">
        <v>0</v>
      </c>
      <c r="B112" s="20">
        <v>0</v>
      </c>
      <c r="C112" s="21">
        <f t="shared" ref="C112:C115" si="35">B112-A112</f>
        <v>0</v>
      </c>
      <c r="D112" s="6">
        <v>1.2999999999999999E-2</v>
      </c>
      <c r="F112" s="22">
        <f t="shared" si="33"/>
        <v>0</v>
      </c>
      <c r="G112" s="10">
        <f t="shared" si="34"/>
        <v>0</v>
      </c>
      <c r="H112" s="43"/>
      <c r="I112" s="37"/>
      <c r="J112" s="37"/>
      <c r="K112" s="37"/>
    </row>
    <row r="113" spans="1:11" x14ac:dyDescent="0.15">
      <c r="A113" s="20">
        <v>0</v>
      </c>
      <c r="B113" s="20">
        <v>0</v>
      </c>
      <c r="C113" s="21">
        <f t="shared" si="35"/>
        <v>0</v>
      </c>
      <c r="D113" s="6">
        <v>1.2999999999999999E-2</v>
      </c>
      <c r="F113" s="22">
        <f t="shared" si="33"/>
        <v>0</v>
      </c>
      <c r="G113" s="10">
        <f t="shared" si="34"/>
        <v>0</v>
      </c>
      <c r="H113" s="43"/>
      <c r="I113" s="37"/>
      <c r="J113" s="37"/>
      <c r="K113" s="37"/>
    </row>
    <row r="114" spans="1:11" x14ac:dyDescent="0.15">
      <c r="A114" s="20">
        <v>0</v>
      </c>
      <c r="B114" s="20">
        <v>0</v>
      </c>
      <c r="C114" s="21">
        <f t="shared" si="35"/>
        <v>0</v>
      </c>
      <c r="D114" s="6">
        <v>1.2999999999999999E-2</v>
      </c>
      <c r="F114" s="22">
        <f t="shared" si="33"/>
        <v>0</v>
      </c>
      <c r="G114" s="10">
        <f t="shared" si="34"/>
        <v>0</v>
      </c>
      <c r="H114" s="43"/>
      <c r="I114" s="37"/>
      <c r="J114" s="37"/>
      <c r="K114" s="37"/>
    </row>
    <row r="115" spans="1:11" x14ac:dyDescent="0.15">
      <c r="A115" s="20">
        <v>0</v>
      </c>
      <c r="B115" s="20">
        <v>0</v>
      </c>
      <c r="C115" s="21">
        <f t="shared" si="35"/>
        <v>0</v>
      </c>
      <c r="D115" s="6">
        <v>1.2999999999999999E-2</v>
      </c>
      <c r="F115" s="22">
        <f t="shared" si="33"/>
        <v>0</v>
      </c>
      <c r="G115" s="10">
        <f t="shared" si="34"/>
        <v>0</v>
      </c>
      <c r="H115" s="44"/>
      <c r="I115" s="37"/>
      <c r="J115" s="37"/>
      <c r="K115" s="37"/>
    </row>
    <row r="116" spans="1:11" ht="8.25" customHeight="1" x14ac:dyDescent="0.15">
      <c r="A116" s="28"/>
      <c r="B116" s="28"/>
      <c r="C116" s="29"/>
      <c r="D116" s="30"/>
      <c r="F116" s="31"/>
      <c r="G116" s="26"/>
      <c r="H116" s="26"/>
      <c r="I116" s="26"/>
      <c r="J116" s="26"/>
      <c r="K116" s="26"/>
    </row>
    <row r="117" spans="1:11" x14ac:dyDescent="0.15">
      <c r="A117" s="7" t="s">
        <v>37</v>
      </c>
      <c r="B117" s="25" t="s">
        <v>16</v>
      </c>
      <c r="C117" s="8" t="s">
        <v>30</v>
      </c>
      <c r="D117" s="18" t="str">
        <f>$K$5</f>
        <v>psi</v>
      </c>
      <c r="F117" s="14" t="s">
        <v>37</v>
      </c>
      <c r="G117" s="9" t="str">
        <f>B117</f>
        <v>CH13</v>
      </c>
      <c r="H117" s="4"/>
      <c r="I117" s="8"/>
      <c r="J117" s="3"/>
      <c r="K117" s="9"/>
    </row>
    <row r="118" spans="1:11" ht="15" customHeight="1" x14ac:dyDescent="0.15">
      <c r="A118" s="35" t="s">
        <v>40</v>
      </c>
      <c r="B118" s="34" t="s">
        <v>43</v>
      </c>
      <c r="C118" s="46" t="s">
        <v>41</v>
      </c>
      <c r="D118" s="38" t="s">
        <v>3</v>
      </c>
      <c r="F118" s="33" t="s">
        <v>40</v>
      </c>
      <c r="G118" s="40" t="s">
        <v>42</v>
      </c>
      <c r="H118" s="39" t="s">
        <v>22</v>
      </c>
      <c r="I118" s="36" t="s">
        <v>39</v>
      </c>
      <c r="J118" s="36"/>
      <c r="K118" s="36"/>
    </row>
    <row r="119" spans="1:11" x14ac:dyDescent="0.15">
      <c r="A119" s="45"/>
      <c r="B119" s="35"/>
      <c r="C119" s="47"/>
      <c r="D119" s="38"/>
      <c r="F119" s="32" t="str">
        <f>"（"&amp;$K$5&amp;"）"</f>
        <v>（psi）</v>
      </c>
      <c r="G119" s="41"/>
      <c r="H119" s="39"/>
      <c r="I119" s="36"/>
      <c r="J119" s="36"/>
      <c r="K119" s="36"/>
    </row>
    <row r="120" spans="1:11" x14ac:dyDescent="0.15">
      <c r="A120" s="20">
        <v>0</v>
      </c>
      <c r="B120" s="20">
        <v>0</v>
      </c>
      <c r="C120" s="21">
        <f>B120-A120</f>
        <v>0</v>
      </c>
      <c r="D120" s="6">
        <v>1.2999999999999999E-2</v>
      </c>
      <c r="F120" s="22">
        <f t="shared" ref="F120:F124" si="36">A120</f>
        <v>0</v>
      </c>
      <c r="G120" s="10">
        <f t="shared" ref="G120:G124" si="37">ABS(C120)/($K$6-$I$6)</f>
        <v>0</v>
      </c>
      <c r="H120" s="42">
        <f>MAX(G120:G124)</f>
        <v>0</v>
      </c>
      <c r="I120" s="37"/>
      <c r="J120" s="37"/>
      <c r="K120" s="37"/>
    </row>
    <row r="121" spans="1:11" x14ac:dyDescent="0.15">
      <c r="A121" s="20">
        <v>0</v>
      </c>
      <c r="B121" s="20">
        <v>0</v>
      </c>
      <c r="C121" s="21">
        <f t="shared" ref="C121:C124" si="38">B121-A121</f>
        <v>0</v>
      </c>
      <c r="D121" s="6">
        <v>1.2999999999999999E-2</v>
      </c>
      <c r="F121" s="22">
        <f t="shared" si="36"/>
        <v>0</v>
      </c>
      <c r="G121" s="10">
        <f t="shared" si="37"/>
        <v>0</v>
      </c>
      <c r="H121" s="43"/>
      <c r="I121" s="37"/>
      <c r="J121" s="37"/>
      <c r="K121" s="37"/>
    </row>
    <row r="122" spans="1:11" x14ac:dyDescent="0.15">
      <c r="A122" s="20">
        <v>0</v>
      </c>
      <c r="B122" s="20">
        <v>0</v>
      </c>
      <c r="C122" s="21">
        <f t="shared" si="38"/>
        <v>0</v>
      </c>
      <c r="D122" s="6">
        <v>1.2999999999999999E-2</v>
      </c>
      <c r="F122" s="22">
        <f t="shared" si="36"/>
        <v>0</v>
      </c>
      <c r="G122" s="10">
        <f t="shared" si="37"/>
        <v>0</v>
      </c>
      <c r="H122" s="43"/>
      <c r="I122" s="37"/>
      <c r="J122" s="37"/>
      <c r="K122" s="37"/>
    </row>
    <row r="123" spans="1:11" x14ac:dyDescent="0.15">
      <c r="A123" s="20">
        <v>0</v>
      </c>
      <c r="B123" s="20">
        <v>0</v>
      </c>
      <c r="C123" s="21">
        <f t="shared" si="38"/>
        <v>0</v>
      </c>
      <c r="D123" s="6">
        <v>1.2999999999999999E-2</v>
      </c>
      <c r="F123" s="22">
        <f t="shared" si="36"/>
        <v>0</v>
      </c>
      <c r="G123" s="10">
        <f t="shared" si="37"/>
        <v>0</v>
      </c>
      <c r="H123" s="43"/>
      <c r="I123" s="37"/>
      <c r="J123" s="37"/>
      <c r="K123" s="37"/>
    </row>
    <row r="124" spans="1:11" x14ac:dyDescent="0.15">
      <c r="A124" s="20">
        <v>0</v>
      </c>
      <c r="B124" s="20">
        <v>0</v>
      </c>
      <c r="C124" s="21">
        <f t="shared" si="38"/>
        <v>0</v>
      </c>
      <c r="D124" s="6">
        <v>1.2999999999999999E-2</v>
      </c>
      <c r="F124" s="22">
        <f t="shared" si="36"/>
        <v>0</v>
      </c>
      <c r="G124" s="10">
        <f t="shared" si="37"/>
        <v>0</v>
      </c>
      <c r="H124" s="44"/>
      <c r="I124" s="37"/>
      <c r="J124" s="37"/>
      <c r="K124" s="37"/>
    </row>
    <row r="125" spans="1:11" ht="8.25" customHeight="1" x14ac:dyDescent="0.15"/>
    <row r="126" spans="1:11" x14ac:dyDescent="0.15">
      <c r="A126" s="7" t="s">
        <v>37</v>
      </c>
      <c r="B126" s="25" t="s">
        <v>17</v>
      </c>
      <c r="C126" s="8" t="s">
        <v>30</v>
      </c>
      <c r="D126" s="18" t="str">
        <f>$K$5</f>
        <v>psi</v>
      </c>
      <c r="F126" s="14" t="s">
        <v>37</v>
      </c>
      <c r="G126" s="9" t="str">
        <f>B126</f>
        <v>CH14</v>
      </c>
      <c r="H126" s="4"/>
      <c r="I126" s="8"/>
      <c r="J126" s="3"/>
      <c r="K126" s="9"/>
    </row>
    <row r="127" spans="1:11" ht="15" customHeight="1" x14ac:dyDescent="0.15">
      <c r="A127" s="35" t="s">
        <v>40</v>
      </c>
      <c r="B127" s="34" t="s">
        <v>43</v>
      </c>
      <c r="C127" s="46" t="s">
        <v>41</v>
      </c>
      <c r="D127" s="38" t="s">
        <v>3</v>
      </c>
      <c r="F127" s="33" t="s">
        <v>40</v>
      </c>
      <c r="G127" s="40" t="s">
        <v>42</v>
      </c>
      <c r="H127" s="39" t="s">
        <v>22</v>
      </c>
      <c r="I127" s="36" t="s">
        <v>39</v>
      </c>
      <c r="J127" s="36"/>
      <c r="K127" s="36"/>
    </row>
    <row r="128" spans="1:11" x14ac:dyDescent="0.15">
      <c r="A128" s="45"/>
      <c r="B128" s="35"/>
      <c r="C128" s="47"/>
      <c r="D128" s="38"/>
      <c r="F128" s="32" t="str">
        <f>"（"&amp;$K$5&amp;"）"</f>
        <v>（psi）</v>
      </c>
      <c r="G128" s="41"/>
      <c r="H128" s="39"/>
      <c r="I128" s="36"/>
      <c r="J128" s="36"/>
      <c r="K128" s="36"/>
    </row>
    <row r="129" spans="1:11" x14ac:dyDescent="0.15">
      <c r="A129" s="20">
        <v>0</v>
      </c>
      <c r="B129" s="20">
        <v>0</v>
      </c>
      <c r="C129" s="21">
        <f>B129-A129</f>
        <v>0</v>
      </c>
      <c r="D129" s="6">
        <v>1.2999999999999999E-2</v>
      </c>
      <c r="F129" s="22">
        <f t="shared" ref="F129:F133" si="39">A129</f>
        <v>0</v>
      </c>
      <c r="G129" s="10">
        <f t="shared" ref="G129:G133" si="40">ABS(C129)/($K$6-$I$6)</f>
        <v>0</v>
      </c>
      <c r="H129" s="42">
        <f>MAX(G129:G133)</f>
        <v>0</v>
      </c>
      <c r="I129" s="37"/>
      <c r="J129" s="37"/>
      <c r="K129" s="37"/>
    </row>
    <row r="130" spans="1:11" x14ac:dyDescent="0.15">
      <c r="A130" s="20">
        <v>0</v>
      </c>
      <c r="B130" s="20">
        <v>0</v>
      </c>
      <c r="C130" s="21">
        <f t="shared" ref="C130:C133" si="41">B130-A130</f>
        <v>0</v>
      </c>
      <c r="D130" s="6">
        <v>1.2999999999999999E-2</v>
      </c>
      <c r="F130" s="22">
        <f t="shared" si="39"/>
        <v>0</v>
      </c>
      <c r="G130" s="10">
        <f t="shared" si="40"/>
        <v>0</v>
      </c>
      <c r="H130" s="43"/>
      <c r="I130" s="37"/>
      <c r="J130" s="37"/>
      <c r="K130" s="37"/>
    </row>
    <row r="131" spans="1:11" x14ac:dyDescent="0.15">
      <c r="A131" s="20">
        <v>0</v>
      </c>
      <c r="B131" s="20">
        <v>0</v>
      </c>
      <c r="C131" s="21">
        <f t="shared" si="41"/>
        <v>0</v>
      </c>
      <c r="D131" s="6">
        <v>1.2999999999999999E-2</v>
      </c>
      <c r="F131" s="22">
        <f t="shared" si="39"/>
        <v>0</v>
      </c>
      <c r="G131" s="10">
        <f t="shared" si="40"/>
        <v>0</v>
      </c>
      <c r="H131" s="43"/>
      <c r="I131" s="37"/>
      <c r="J131" s="37"/>
      <c r="K131" s="37"/>
    </row>
    <row r="132" spans="1:11" x14ac:dyDescent="0.15">
      <c r="A132" s="20">
        <v>0</v>
      </c>
      <c r="B132" s="20">
        <v>0</v>
      </c>
      <c r="C132" s="21">
        <f t="shared" si="41"/>
        <v>0</v>
      </c>
      <c r="D132" s="6">
        <v>1.2999999999999999E-2</v>
      </c>
      <c r="F132" s="22">
        <f t="shared" si="39"/>
        <v>0</v>
      </c>
      <c r="G132" s="10">
        <f t="shared" si="40"/>
        <v>0</v>
      </c>
      <c r="H132" s="43"/>
      <c r="I132" s="37"/>
      <c r="J132" s="37"/>
      <c r="K132" s="37"/>
    </row>
    <row r="133" spans="1:11" x14ac:dyDescent="0.15">
      <c r="A133" s="20">
        <v>0</v>
      </c>
      <c r="B133" s="20">
        <v>0</v>
      </c>
      <c r="C133" s="21">
        <f t="shared" si="41"/>
        <v>0</v>
      </c>
      <c r="D133" s="6">
        <v>1.2999999999999999E-2</v>
      </c>
      <c r="F133" s="22">
        <f t="shared" si="39"/>
        <v>0</v>
      </c>
      <c r="G133" s="10">
        <f t="shared" si="40"/>
        <v>0</v>
      </c>
      <c r="H133" s="44"/>
      <c r="I133" s="37"/>
      <c r="J133" s="37"/>
      <c r="K133" s="37"/>
    </row>
    <row r="134" spans="1:11" ht="7.5" customHeight="1" x14ac:dyDescent="0.15"/>
    <row r="135" spans="1:11" x14ac:dyDescent="0.15">
      <c r="A135" s="7" t="s">
        <v>37</v>
      </c>
      <c r="B135" s="25" t="s">
        <v>18</v>
      </c>
      <c r="C135" s="8" t="s">
        <v>30</v>
      </c>
      <c r="D135" s="18" t="str">
        <f>$K$5</f>
        <v>psi</v>
      </c>
      <c r="F135" s="14" t="s">
        <v>37</v>
      </c>
      <c r="G135" s="9" t="str">
        <f>B135</f>
        <v>CH15</v>
      </c>
      <c r="H135" s="4"/>
      <c r="I135" s="8"/>
      <c r="J135" s="3"/>
      <c r="K135" s="9"/>
    </row>
    <row r="136" spans="1:11" ht="15" customHeight="1" x14ac:dyDescent="0.15">
      <c r="A136" s="35" t="s">
        <v>40</v>
      </c>
      <c r="B136" s="34" t="s">
        <v>43</v>
      </c>
      <c r="C136" s="46" t="s">
        <v>41</v>
      </c>
      <c r="D136" s="38" t="s">
        <v>3</v>
      </c>
      <c r="F136" s="33" t="s">
        <v>40</v>
      </c>
      <c r="G136" s="40" t="s">
        <v>42</v>
      </c>
      <c r="H136" s="39" t="s">
        <v>22</v>
      </c>
      <c r="I136" s="36" t="s">
        <v>39</v>
      </c>
      <c r="J136" s="36"/>
      <c r="K136" s="36"/>
    </row>
    <row r="137" spans="1:11" x14ac:dyDescent="0.15">
      <c r="A137" s="45"/>
      <c r="B137" s="35"/>
      <c r="C137" s="47"/>
      <c r="D137" s="38"/>
      <c r="F137" s="32" t="str">
        <f>"（"&amp;$K$5&amp;"）"</f>
        <v>（psi）</v>
      </c>
      <c r="G137" s="41"/>
      <c r="H137" s="39"/>
      <c r="I137" s="36"/>
      <c r="J137" s="36"/>
      <c r="K137" s="36"/>
    </row>
    <row r="138" spans="1:11" x14ac:dyDescent="0.15">
      <c r="A138" s="20">
        <v>0</v>
      </c>
      <c r="B138" s="20">
        <v>0</v>
      </c>
      <c r="C138" s="21">
        <f>B138-A138</f>
        <v>0</v>
      </c>
      <c r="D138" s="6">
        <v>1.2999999999999999E-2</v>
      </c>
      <c r="F138" s="22">
        <f t="shared" ref="F138:F142" si="42">A138</f>
        <v>0</v>
      </c>
      <c r="G138" s="10">
        <f t="shared" ref="G138:G142" si="43">ABS(C138)/($K$6-$I$6)</f>
        <v>0</v>
      </c>
      <c r="H138" s="42">
        <f>MAX(G138:G142)</f>
        <v>0</v>
      </c>
      <c r="I138" s="37"/>
      <c r="J138" s="37"/>
      <c r="K138" s="37"/>
    </row>
    <row r="139" spans="1:11" x14ac:dyDescent="0.15">
      <c r="A139" s="20">
        <v>0</v>
      </c>
      <c r="B139" s="20">
        <v>0</v>
      </c>
      <c r="C139" s="21">
        <f t="shared" ref="C139:C142" si="44">B139-A139</f>
        <v>0</v>
      </c>
      <c r="D139" s="6">
        <v>1.2999999999999999E-2</v>
      </c>
      <c r="F139" s="22">
        <f t="shared" si="42"/>
        <v>0</v>
      </c>
      <c r="G139" s="10">
        <f t="shared" si="43"/>
        <v>0</v>
      </c>
      <c r="H139" s="43"/>
      <c r="I139" s="37"/>
      <c r="J139" s="37"/>
      <c r="K139" s="37"/>
    </row>
    <row r="140" spans="1:11" x14ac:dyDescent="0.15">
      <c r="A140" s="20">
        <v>0</v>
      </c>
      <c r="B140" s="20">
        <v>0</v>
      </c>
      <c r="C140" s="21">
        <f t="shared" si="44"/>
        <v>0</v>
      </c>
      <c r="D140" s="6">
        <v>1.2999999999999999E-2</v>
      </c>
      <c r="F140" s="22">
        <f t="shared" si="42"/>
        <v>0</v>
      </c>
      <c r="G140" s="10">
        <f t="shared" si="43"/>
        <v>0</v>
      </c>
      <c r="H140" s="43"/>
      <c r="I140" s="37"/>
      <c r="J140" s="37"/>
      <c r="K140" s="37"/>
    </row>
    <row r="141" spans="1:11" x14ac:dyDescent="0.15">
      <c r="A141" s="20">
        <v>0</v>
      </c>
      <c r="B141" s="20">
        <v>0</v>
      </c>
      <c r="C141" s="21">
        <f t="shared" si="44"/>
        <v>0</v>
      </c>
      <c r="D141" s="6">
        <v>1.2999999999999999E-2</v>
      </c>
      <c r="F141" s="22">
        <f t="shared" si="42"/>
        <v>0</v>
      </c>
      <c r="G141" s="10">
        <f t="shared" si="43"/>
        <v>0</v>
      </c>
      <c r="H141" s="43"/>
      <c r="I141" s="37"/>
      <c r="J141" s="37"/>
      <c r="K141" s="37"/>
    </row>
    <row r="142" spans="1:11" x14ac:dyDescent="0.15">
      <c r="A142" s="20">
        <v>0</v>
      </c>
      <c r="B142" s="20">
        <v>0</v>
      </c>
      <c r="C142" s="21">
        <f t="shared" si="44"/>
        <v>0</v>
      </c>
      <c r="D142" s="6">
        <v>1.2999999999999999E-2</v>
      </c>
      <c r="F142" s="22">
        <f t="shared" si="42"/>
        <v>0</v>
      </c>
      <c r="G142" s="10">
        <f t="shared" si="43"/>
        <v>0</v>
      </c>
      <c r="H142" s="44"/>
      <c r="I142" s="37"/>
      <c r="J142" s="37"/>
      <c r="K142" s="37"/>
    </row>
    <row r="143" spans="1:11" x14ac:dyDescent="0.15">
      <c r="A143" s="28"/>
      <c r="B143" s="28"/>
      <c r="C143" s="29"/>
      <c r="D143" s="30"/>
      <c r="F143" s="31"/>
      <c r="G143" s="26"/>
      <c r="H143" s="26"/>
      <c r="I143" s="26"/>
      <c r="J143" s="26"/>
      <c r="K143" s="26"/>
    </row>
    <row r="144" spans="1:11" x14ac:dyDescent="0.15">
      <c r="A144" s="28"/>
      <c r="B144" s="28"/>
      <c r="C144" s="29"/>
      <c r="D144" s="30"/>
      <c r="F144" s="31"/>
      <c r="G144" s="26"/>
      <c r="H144" s="26"/>
      <c r="I144" s="26"/>
      <c r="J144" s="26"/>
      <c r="K144" s="26"/>
    </row>
    <row r="145" spans="1:11" x14ac:dyDescent="0.15">
      <c r="A145" s="7" t="s">
        <v>37</v>
      </c>
      <c r="B145" s="25" t="s">
        <v>19</v>
      </c>
      <c r="C145" s="8" t="s">
        <v>30</v>
      </c>
      <c r="D145" s="18" t="str">
        <f>$K$5</f>
        <v>psi</v>
      </c>
      <c r="F145" s="14" t="s">
        <v>37</v>
      </c>
      <c r="G145" s="9" t="str">
        <f>B145</f>
        <v>CH16</v>
      </c>
      <c r="H145" s="4"/>
      <c r="I145" s="8"/>
      <c r="J145" s="3"/>
      <c r="K145" s="9"/>
    </row>
    <row r="146" spans="1:11" ht="15" customHeight="1" x14ac:dyDescent="0.15">
      <c r="A146" s="35" t="s">
        <v>40</v>
      </c>
      <c r="B146" s="34" t="s">
        <v>43</v>
      </c>
      <c r="C146" s="46" t="s">
        <v>41</v>
      </c>
      <c r="D146" s="38" t="s">
        <v>3</v>
      </c>
      <c r="F146" s="33" t="s">
        <v>40</v>
      </c>
      <c r="G146" s="40" t="s">
        <v>42</v>
      </c>
      <c r="H146" s="39" t="s">
        <v>22</v>
      </c>
      <c r="I146" s="36" t="s">
        <v>39</v>
      </c>
      <c r="J146" s="36"/>
      <c r="K146" s="36"/>
    </row>
    <row r="147" spans="1:11" x14ac:dyDescent="0.15">
      <c r="A147" s="45"/>
      <c r="B147" s="35"/>
      <c r="C147" s="47"/>
      <c r="D147" s="38"/>
      <c r="F147" s="32" t="str">
        <f>"（"&amp;$K$5&amp;"）"</f>
        <v>（psi）</v>
      </c>
      <c r="G147" s="41"/>
      <c r="H147" s="39"/>
      <c r="I147" s="36"/>
      <c r="J147" s="36"/>
      <c r="K147" s="36"/>
    </row>
    <row r="148" spans="1:11" x14ac:dyDescent="0.15">
      <c r="A148" s="20">
        <v>0</v>
      </c>
      <c r="B148" s="20">
        <v>0</v>
      </c>
      <c r="C148" s="21">
        <f>B148-A148</f>
        <v>0</v>
      </c>
      <c r="D148" s="6">
        <v>1.2999999999999999E-2</v>
      </c>
      <c r="F148" s="22">
        <f t="shared" ref="F148:F152" si="45">A148</f>
        <v>0</v>
      </c>
      <c r="G148" s="10">
        <f t="shared" ref="G148:G152" si="46">ABS(C148)/($K$6-$I$6)</f>
        <v>0</v>
      </c>
      <c r="H148" s="42">
        <f>MAX(G148:G152)</f>
        <v>0</v>
      </c>
      <c r="I148" s="37"/>
      <c r="J148" s="37"/>
      <c r="K148" s="37"/>
    </row>
    <row r="149" spans="1:11" x14ac:dyDescent="0.15">
      <c r="A149" s="20">
        <v>0</v>
      </c>
      <c r="B149" s="20">
        <v>0</v>
      </c>
      <c r="C149" s="21">
        <f t="shared" ref="C149:C152" si="47">B149-A149</f>
        <v>0</v>
      </c>
      <c r="D149" s="6">
        <v>1.2999999999999999E-2</v>
      </c>
      <c r="F149" s="22">
        <f t="shared" si="45"/>
        <v>0</v>
      </c>
      <c r="G149" s="10">
        <f t="shared" si="46"/>
        <v>0</v>
      </c>
      <c r="H149" s="43"/>
      <c r="I149" s="37"/>
      <c r="J149" s="37"/>
      <c r="K149" s="37"/>
    </row>
    <row r="150" spans="1:11" x14ac:dyDescent="0.15">
      <c r="A150" s="20">
        <v>0</v>
      </c>
      <c r="B150" s="20">
        <v>0</v>
      </c>
      <c r="C150" s="21">
        <f t="shared" si="47"/>
        <v>0</v>
      </c>
      <c r="D150" s="6">
        <v>1.2999999999999999E-2</v>
      </c>
      <c r="F150" s="22">
        <f t="shared" si="45"/>
        <v>0</v>
      </c>
      <c r="G150" s="10">
        <f t="shared" si="46"/>
        <v>0</v>
      </c>
      <c r="H150" s="43"/>
      <c r="I150" s="37"/>
      <c r="J150" s="37"/>
      <c r="K150" s="37"/>
    </row>
    <row r="151" spans="1:11" x14ac:dyDescent="0.15">
      <c r="A151" s="20">
        <v>0</v>
      </c>
      <c r="B151" s="20">
        <v>0</v>
      </c>
      <c r="C151" s="21">
        <f t="shared" si="47"/>
        <v>0</v>
      </c>
      <c r="D151" s="6">
        <v>1.2999999999999999E-2</v>
      </c>
      <c r="F151" s="22">
        <f t="shared" si="45"/>
        <v>0</v>
      </c>
      <c r="G151" s="10">
        <f t="shared" si="46"/>
        <v>0</v>
      </c>
      <c r="H151" s="43"/>
      <c r="I151" s="37"/>
      <c r="J151" s="37"/>
      <c r="K151" s="37"/>
    </row>
    <row r="152" spans="1:11" x14ac:dyDescent="0.15">
      <c r="A152" s="20">
        <v>0</v>
      </c>
      <c r="B152" s="20">
        <v>0</v>
      </c>
      <c r="C152" s="21">
        <f t="shared" si="47"/>
        <v>0</v>
      </c>
      <c r="D152" s="6">
        <v>1.2999999999999999E-2</v>
      </c>
      <c r="F152" s="22">
        <f t="shared" si="45"/>
        <v>0</v>
      </c>
      <c r="G152" s="10">
        <f t="shared" si="46"/>
        <v>0</v>
      </c>
      <c r="H152" s="44"/>
      <c r="I152" s="37"/>
      <c r="J152" s="37"/>
      <c r="K152" s="37"/>
    </row>
    <row r="153" spans="1:11" x14ac:dyDescent="0.15">
      <c r="A153" s="28"/>
      <c r="B153" s="28"/>
      <c r="C153" s="29"/>
      <c r="D153" s="30"/>
      <c r="F153" s="31"/>
      <c r="G153" s="26"/>
      <c r="H153" s="26"/>
      <c r="I153" s="26"/>
      <c r="J153" s="26"/>
      <c r="K153" s="26"/>
    </row>
    <row r="154" spans="1:11" x14ac:dyDescent="0.15">
      <c r="A154" s="48"/>
      <c r="B154" s="48"/>
      <c r="C154" s="48"/>
      <c r="D154" s="48"/>
    </row>
    <row r="155" spans="1:11" x14ac:dyDescent="0.15">
      <c r="A155" s="49" t="s">
        <v>2</v>
      </c>
      <c r="B155" s="49"/>
      <c r="C155" s="49"/>
      <c r="D155" s="49"/>
    </row>
    <row r="156" spans="1:11" x14ac:dyDescent="0.15">
      <c r="A156" s="48" t="s">
        <v>1</v>
      </c>
      <c r="B156" s="48"/>
      <c r="C156" s="48"/>
      <c r="D156" s="48"/>
    </row>
  </sheetData>
  <mergeCells count="152">
    <mergeCell ref="I1:I2"/>
    <mergeCell ref="G146:G147"/>
    <mergeCell ref="H146:H147"/>
    <mergeCell ref="I120:K124"/>
    <mergeCell ref="I127:K128"/>
    <mergeCell ref="I129:K133"/>
    <mergeCell ref="I136:K137"/>
    <mergeCell ref="I138:K142"/>
    <mergeCell ref="I146:K147"/>
    <mergeCell ref="I102:K106"/>
    <mergeCell ref="I109:K110"/>
    <mergeCell ref="H92:H96"/>
    <mergeCell ref="G100:G101"/>
    <mergeCell ref="H100:H101"/>
    <mergeCell ref="I83:K87"/>
    <mergeCell ref="I90:K91"/>
    <mergeCell ref="I92:K96"/>
    <mergeCell ref="I100:K101"/>
    <mergeCell ref="H102:H106"/>
    <mergeCell ref="G109:G110"/>
    <mergeCell ref="H109:H110"/>
    <mergeCell ref="H74:H78"/>
    <mergeCell ref="G81:G82"/>
    <mergeCell ref="H81:H82"/>
    <mergeCell ref="F4:J4"/>
    <mergeCell ref="F3:J3"/>
    <mergeCell ref="H148:H152"/>
    <mergeCell ref="H129:H133"/>
    <mergeCell ref="G136:G137"/>
    <mergeCell ref="H136:H137"/>
    <mergeCell ref="H138:H142"/>
    <mergeCell ref="I148:K152"/>
    <mergeCell ref="H111:H115"/>
    <mergeCell ref="G118:G119"/>
    <mergeCell ref="H118:H119"/>
    <mergeCell ref="I111:K115"/>
    <mergeCell ref="I118:K119"/>
    <mergeCell ref="H120:H124"/>
    <mergeCell ref="G127:G128"/>
    <mergeCell ref="H127:H128"/>
    <mergeCell ref="H65:H69"/>
    <mergeCell ref="G72:G73"/>
    <mergeCell ref="H72:H73"/>
    <mergeCell ref="I65:K69"/>
    <mergeCell ref="I72:K73"/>
    <mergeCell ref="I74:K78"/>
    <mergeCell ref="I81:K82"/>
    <mergeCell ref="H83:H87"/>
    <mergeCell ref="G90:G91"/>
    <mergeCell ref="H90:H91"/>
    <mergeCell ref="G44:G45"/>
    <mergeCell ref="H44:H45"/>
    <mergeCell ref="I44:K45"/>
    <mergeCell ref="H46:H50"/>
    <mergeCell ref="G54:G55"/>
    <mergeCell ref="H54:H55"/>
    <mergeCell ref="H56:H60"/>
    <mergeCell ref="G63:G64"/>
    <mergeCell ref="H63:H64"/>
    <mergeCell ref="I46:K50"/>
    <mergeCell ref="I54:K55"/>
    <mergeCell ref="I56:K60"/>
    <mergeCell ref="I63:K64"/>
    <mergeCell ref="A154:D154"/>
    <mergeCell ref="A155:D155"/>
    <mergeCell ref="A156:D156"/>
    <mergeCell ref="A3:D3"/>
    <mergeCell ref="A4:D4"/>
    <mergeCell ref="A8:A9"/>
    <mergeCell ref="C8:C9"/>
    <mergeCell ref="A26:A27"/>
    <mergeCell ref="C26:C27"/>
    <mergeCell ref="D26:D27"/>
    <mergeCell ref="A35:A36"/>
    <mergeCell ref="C35:C36"/>
    <mergeCell ref="D35:D36"/>
    <mergeCell ref="A44:A45"/>
    <mergeCell ref="C44:C45"/>
    <mergeCell ref="D44:D45"/>
    <mergeCell ref="A54:A55"/>
    <mergeCell ref="C54:C55"/>
    <mergeCell ref="A63:A64"/>
    <mergeCell ref="C63:C64"/>
    <mergeCell ref="D54:D55"/>
    <mergeCell ref="D72:D73"/>
    <mergeCell ref="A72:A73"/>
    <mergeCell ref="C72:C73"/>
    <mergeCell ref="D118:D119"/>
    <mergeCell ref="A118:A119"/>
    <mergeCell ref="C118:C119"/>
    <mergeCell ref="A109:A110"/>
    <mergeCell ref="C109:C110"/>
    <mergeCell ref="D109:D110"/>
    <mergeCell ref="A17:A18"/>
    <mergeCell ref="C17:C18"/>
    <mergeCell ref="D17:D18"/>
    <mergeCell ref="A81:A82"/>
    <mergeCell ref="C81:C82"/>
    <mergeCell ref="A100:A101"/>
    <mergeCell ref="C100:C101"/>
    <mergeCell ref="D100:D101"/>
    <mergeCell ref="A90:A91"/>
    <mergeCell ref="C90:C91"/>
    <mergeCell ref="D90:D91"/>
    <mergeCell ref="D81:D82"/>
    <mergeCell ref="D63:D64"/>
    <mergeCell ref="B35:B36"/>
    <mergeCell ref="B44:B45"/>
    <mergeCell ref="B54:B55"/>
    <mergeCell ref="B63:B64"/>
    <mergeCell ref="B72:B73"/>
    <mergeCell ref="D146:D147"/>
    <mergeCell ref="A146:A147"/>
    <mergeCell ref="C146:C147"/>
    <mergeCell ref="A136:A137"/>
    <mergeCell ref="C136:C137"/>
    <mergeCell ref="D136:D137"/>
    <mergeCell ref="A127:A128"/>
    <mergeCell ref="C127:C128"/>
    <mergeCell ref="D127:D128"/>
    <mergeCell ref="I8:K9"/>
    <mergeCell ref="I10:K14"/>
    <mergeCell ref="I17:K18"/>
    <mergeCell ref="I19:K23"/>
    <mergeCell ref="I26:K27"/>
    <mergeCell ref="I28:K32"/>
    <mergeCell ref="I35:K36"/>
    <mergeCell ref="I37:K41"/>
    <mergeCell ref="D8:D9"/>
    <mergeCell ref="H26:H27"/>
    <mergeCell ref="G26:G27"/>
    <mergeCell ref="H19:H23"/>
    <mergeCell ref="H8:H9"/>
    <mergeCell ref="G8:G9"/>
    <mergeCell ref="H17:H18"/>
    <mergeCell ref="G17:G18"/>
    <mergeCell ref="H10:H14"/>
    <mergeCell ref="H28:H32"/>
    <mergeCell ref="G35:G36"/>
    <mergeCell ref="H35:H36"/>
    <mergeCell ref="H37:H41"/>
    <mergeCell ref="B81:B82"/>
    <mergeCell ref="B90:B91"/>
    <mergeCell ref="B100:B101"/>
    <mergeCell ref="B109:B110"/>
    <mergeCell ref="B118:B119"/>
    <mergeCell ref="B127:B128"/>
    <mergeCell ref="B136:B137"/>
    <mergeCell ref="B146:B147"/>
    <mergeCell ref="B8:B9"/>
    <mergeCell ref="B17:B18"/>
    <mergeCell ref="B26:B27"/>
  </mergeCells>
  <phoneticPr fontId="7" type="noConversion"/>
  <conditionalFormatting sqref="G10:G14">
    <cfRule type="cellIs" dxfId="65" priority="613" operator="lessThan">
      <formula>$G$6/100</formula>
    </cfRule>
    <cfRule type="cellIs" dxfId="64" priority="614" operator="greaterThanOrEqual">
      <formula>$G$6/100</formula>
    </cfRule>
  </conditionalFormatting>
  <conditionalFormatting sqref="J2:K2">
    <cfRule type="cellIs" dxfId="63" priority="425" operator="lessThan">
      <formula>0.0005</formula>
    </cfRule>
    <cfRule type="cellIs" dxfId="62" priority="426" operator="greaterThanOrEqual">
      <formula>0.0005</formula>
    </cfRule>
  </conditionalFormatting>
  <conditionalFormatting sqref="H10">
    <cfRule type="cellIs" dxfId="61" priority="61" operator="lessThan">
      <formula>$G$6/100</formula>
    </cfRule>
    <cfRule type="cellIs" dxfId="60" priority="62" operator="greaterThanOrEqual">
      <formula>$G$6/100</formula>
    </cfRule>
  </conditionalFormatting>
  <conditionalFormatting sqref="G19:G23">
    <cfRule type="cellIs" dxfId="59" priority="59" operator="lessThan">
      <formula>$G$6/100</formula>
    </cfRule>
    <cfRule type="cellIs" dxfId="58" priority="60" operator="greaterThanOrEqual">
      <formula>$G$6/100</formula>
    </cfRule>
  </conditionalFormatting>
  <conditionalFormatting sqref="H19">
    <cfRule type="cellIs" dxfId="57" priority="57" operator="lessThan">
      <formula>$G$6/100</formula>
    </cfRule>
    <cfRule type="cellIs" dxfId="56" priority="58" operator="greaterThanOrEqual">
      <formula>$G$6/100</formula>
    </cfRule>
  </conditionalFormatting>
  <conditionalFormatting sqref="G28:G32">
    <cfRule type="cellIs" dxfId="55" priority="55" operator="lessThan">
      <formula>$G$6/100</formula>
    </cfRule>
    <cfRule type="cellIs" dxfId="54" priority="56" operator="greaterThanOrEqual">
      <formula>$G$6/100</formula>
    </cfRule>
  </conditionalFormatting>
  <conditionalFormatting sqref="H28">
    <cfRule type="cellIs" dxfId="53" priority="53" operator="lessThan">
      <formula>$G$6/100</formula>
    </cfRule>
    <cfRule type="cellIs" dxfId="52" priority="54" operator="greaterThanOrEqual">
      <formula>$G$6/100</formula>
    </cfRule>
  </conditionalFormatting>
  <conditionalFormatting sqref="G37:G41">
    <cfRule type="cellIs" dxfId="51" priority="51" operator="lessThan">
      <formula>$G$6/100</formula>
    </cfRule>
    <cfRule type="cellIs" dxfId="50" priority="52" operator="greaterThanOrEqual">
      <formula>$G$6/100</formula>
    </cfRule>
  </conditionalFormatting>
  <conditionalFormatting sqref="H37">
    <cfRule type="cellIs" dxfId="49" priority="49" operator="lessThan">
      <formula>$G$6/100</formula>
    </cfRule>
    <cfRule type="cellIs" dxfId="48" priority="50" operator="greaterThanOrEqual">
      <formula>$G$6/100</formula>
    </cfRule>
  </conditionalFormatting>
  <conditionalFormatting sqref="G46:G50">
    <cfRule type="cellIs" dxfId="47" priority="47" operator="lessThan">
      <formula>$G$6/100</formula>
    </cfRule>
    <cfRule type="cellIs" dxfId="46" priority="48" operator="greaterThanOrEqual">
      <formula>$G$6/100</formula>
    </cfRule>
  </conditionalFormatting>
  <conditionalFormatting sqref="H46">
    <cfRule type="cellIs" dxfId="45" priority="45" operator="lessThan">
      <formula>$G$6/100</formula>
    </cfRule>
    <cfRule type="cellIs" dxfId="44" priority="46" operator="greaterThanOrEqual">
      <formula>$G$6/100</formula>
    </cfRule>
  </conditionalFormatting>
  <conditionalFormatting sqref="G56:G60">
    <cfRule type="cellIs" dxfId="43" priority="43" operator="lessThan">
      <formula>$G$6/100</formula>
    </cfRule>
    <cfRule type="cellIs" dxfId="42" priority="44" operator="greaterThanOrEqual">
      <formula>$G$6/100</formula>
    </cfRule>
  </conditionalFormatting>
  <conditionalFormatting sqref="H56">
    <cfRule type="cellIs" dxfId="41" priority="41" operator="lessThan">
      <formula>$G$6/100</formula>
    </cfRule>
    <cfRule type="cellIs" dxfId="40" priority="42" operator="greaterThanOrEqual">
      <formula>$G$6/100</formula>
    </cfRule>
  </conditionalFormatting>
  <conditionalFormatting sqref="G65:G69">
    <cfRule type="cellIs" dxfId="39" priority="39" operator="lessThan">
      <formula>$G$6/100</formula>
    </cfRule>
    <cfRule type="cellIs" dxfId="38" priority="40" operator="greaterThanOrEqual">
      <formula>$G$6/100</formula>
    </cfRule>
  </conditionalFormatting>
  <conditionalFormatting sqref="H65">
    <cfRule type="cellIs" dxfId="37" priority="37" operator="lessThan">
      <formula>$G$6/100</formula>
    </cfRule>
    <cfRule type="cellIs" dxfId="36" priority="38" operator="greaterThanOrEqual">
      <formula>$G$6/100</formula>
    </cfRule>
  </conditionalFormatting>
  <conditionalFormatting sqref="G74:G78">
    <cfRule type="cellIs" dxfId="35" priority="35" operator="lessThan">
      <formula>$G$6/100</formula>
    </cfRule>
    <cfRule type="cellIs" dxfId="34" priority="36" operator="greaterThanOrEqual">
      <formula>$G$6/100</formula>
    </cfRule>
  </conditionalFormatting>
  <conditionalFormatting sqref="H74">
    <cfRule type="cellIs" dxfId="33" priority="33" operator="lessThan">
      <formula>$G$6/100</formula>
    </cfRule>
    <cfRule type="cellIs" dxfId="32" priority="34" operator="greaterThanOrEqual">
      <formula>$G$6/100</formula>
    </cfRule>
  </conditionalFormatting>
  <conditionalFormatting sqref="G83:G87">
    <cfRule type="cellIs" dxfId="31" priority="31" operator="lessThan">
      <formula>$G$6/100</formula>
    </cfRule>
    <cfRule type="cellIs" dxfId="30" priority="32" operator="greaterThanOrEqual">
      <formula>$G$6/100</formula>
    </cfRule>
  </conditionalFormatting>
  <conditionalFormatting sqref="H83">
    <cfRule type="cellIs" dxfId="29" priority="29" operator="lessThan">
      <formula>$G$6/100</formula>
    </cfRule>
    <cfRule type="cellIs" dxfId="28" priority="30" operator="greaterThanOrEqual">
      <formula>$G$6/100</formula>
    </cfRule>
  </conditionalFormatting>
  <conditionalFormatting sqref="G92:G96">
    <cfRule type="cellIs" dxfId="27" priority="27" operator="lessThan">
      <formula>$G$6/100</formula>
    </cfRule>
    <cfRule type="cellIs" dxfId="26" priority="28" operator="greaterThanOrEqual">
      <formula>$G$6/100</formula>
    </cfRule>
  </conditionalFormatting>
  <conditionalFormatting sqref="H92">
    <cfRule type="cellIs" dxfId="25" priority="25" operator="lessThan">
      <formula>$G$6/100</formula>
    </cfRule>
    <cfRule type="cellIs" dxfId="24" priority="26" operator="greaterThanOrEqual">
      <formula>$G$6/100</formula>
    </cfRule>
  </conditionalFormatting>
  <conditionalFormatting sqref="G102:G106">
    <cfRule type="cellIs" dxfId="23" priority="23" operator="lessThan">
      <formula>$G$6/100</formula>
    </cfRule>
    <cfRule type="cellIs" dxfId="22" priority="24" operator="greaterThanOrEqual">
      <formula>$G$6/100</formula>
    </cfRule>
  </conditionalFormatting>
  <conditionalFormatting sqref="H102">
    <cfRule type="cellIs" dxfId="21" priority="21" operator="lessThan">
      <formula>$G$6/100</formula>
    </cfRule>
    <cfRule type="cellIs" dxfId="20" priority="22" operator="greaterThanOrEqual">
      <formula>$G$6/100</formula>
    </cfRule>
  </conditionalFormatting>
  <conditionalFormatting sqref="G111:G115">
    <cfRule type="cellIs" dxfId="19" priority="19" operator="lessThan">
      <formula>$G$6/100</formula>
    </cfRule>
    <cfRule type="cellIs" dxfId="18" priority="20" operator="greaterThanOrEqual">
      <formula>$G$6/100</formula>
    </cfRule>
  </conditionalFormatting>
  <conditionalFormatting sqref="H111">
    <cfRule type="cellIs" dxfId="17" priority="17" operator="lessThan">
      <formula>$G$6/100</formula>
    </cfRule>
    <cfRule type="cellIs" dxfId="16" priority="18" operator="greaterThanOrEqual">
      <formula>$G$6/100</formula>
    </cfRule>
  </conditionalFormatting>
  <conditionalFormatting sqref="G120:G124">
    <cfRule type="cellIs" dxfId="15" priority="15" operator="lessThan">
      <formula>$G$6/100</formula>
    </cfRule>
    <cfRule type="cellIs" dxfId="14" priority="16" operator="greaterThanOrEqual">
      <formula>$G$6/100</formula>
    </cfRule>
  </conditionalFormatting>
  <conditionalFormatting sqref="H120">
    <cfRule type="cellIs" dxfId="13" priority="13" operator="lessThan">
      <formula>$G$6/100</formula>
    </cfRule>
    <cfRule type="cellIs" dxfId="12" priority="14" operator="greaterThanOrEqual">
      <formula>$G$6/100</formula>
    </cfRule>
  </conditionalFormatting>
  <conditionalFormatting sqref="G129:G133">
    <cfRule type="cellIs" dxfId="11" priority="11" operator="lessThan">
      <formula>$G$6/100</formula>
    </cfRule>
    <cfRule type="cellIs" dxfId="10" priority="12" operator="greaterThanOrEqual">
      <formula>$G$6/100</formula>
    </cfRule>
  </conditionalFormatting>
  <conditionalFormatting sqref="H129">
    <cfRule type="cellIs" dxfId="9" priority="9" operator="lessThan">
      <formula>$G$6/100</formula>
    </cfRule>
    <cfRule type="cellIs" dxfId="8" priority="10" operator="greaterThanOrEqual">
      <formula>$G$6/100</formula>
    </cfRule>
  </conditionalFormatting>
  <conditionalFormatting sqref="G138:G142">
    <cfRule type="cellIs" dxfId="7" priority="7" operator="lessThan">
      <formula>$G$6/100</formula>
    </cfRule>
    <cfRule type="cellIs" dxfId="6" priority="8" operator="greaterThanOrEqual">
      <formula>$G$6/100</formula>
    </cfRule>
  </conditionalFormatting>
  <conditionalFormatting sqref="H138">
    <cfRule type="cellIs" dxfId="5" priority="5" operator="lessThan">
      <formula>$G$6/100</formula>
    </cfRule>
    <cfRule type="cellIs" dxfId="4" priority="6" operator="greaterThanOrEqual">
      <formula>$G$6/100</formula>
    </cfRule>
  </conditionalFormatting>
  <conditionalFormatting sqref="G148:G152">
    <cfRule type="cellIs" dxfId="3" priority="3" operator="lessThan">
      <formula>$G$6/100</formula>
    </cfRule>
    <cfRule type="cellIs" dxfId="2" priority="4" operator="greaterThanOrEqual">
      <formula>$G$6/100</formula>
    </cfRule>
  </conditionalFormatting>
  <conditionalFormatting sqref="H148">
    <cfRule type="cellIs" dxfId="1" priority="1" operator="lessThan">
      <formula>$G$6/100</formula>
    </cfRule>
    <cfRule type="cellIs" dxfId="0" priority="2" operator="greaterThanOrEqual">
      <formula>$G$6/100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Calibration result</vt:lpstr>
      <vt:lpstr>'Calibration result'!Print_Titles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2024-04-23T06:34:23Z</cp:lastPrinted>
  <dcterms:created xsi:type="dcterms:W3CDTF">2022-12-06T12:02:00Z</dcterms:created>
  <dcterms:modified xsi:type="dcterms:W3CDTF">2024-05-24T02:23:16Z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