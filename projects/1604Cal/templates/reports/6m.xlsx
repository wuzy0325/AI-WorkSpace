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" sheetId="16" r:id="rId1"/>
  </sheets>
  <definedNames>
    <definedName name="_xlnm.Print_Titles" localSheetId="0">'Calibration result'!$1:$4</definedName>
    <definedName name="单位">'Calibration result'!$N$5</definedName>
    <definedName name="量程最大值">'Calibration result'!$N$6</definedName>
    <definedName name="量程最小值">'Calibration result'!$L$6</definedName>
    <definedName name="通道1">'Calibration result'!$A$10</definedName>
    <definedName name="通道10">'Calibration result'!$A$108</definedName>
    <definedName name="通道11">'Calibration result'!$A$118</definedName>
    <definedName name="通道12">'Calibration result'!$A$128</definedName>
    <definedName name="通道13">'Calibration result'!$A$142</definedName>
    <definedName name="通道14">'Calibration result'!$A$152</definedName>
    <definedName name="通道15">'Calibration result'!$A$162</definedName>
    <definedName name="通道16">'Calibration result'!$A$172</definedName>
    <definedName name="通道2">'Calibration result'!$A$20</definedName>
    <definedName name="通道3">'Calibration result'!$A$30</definedName>
    <definedName name="通道4">'Calibration result'!$A$40</definedName>
    <definedName name="通道5">'Calibration result'!$A$54</definedName>
    <definedName name="通道6">'Calibration result'!$A$64</definedName>
    <definedName name="通道7">'Calibration result'!$A$74</definedName>
    <definedName name="通道8">'Calibration result'!$A$84</definedName>
    <definedName name="通道9">'Calibration result'!$A$98</definedName>
    <definedName name="校准日期">'Calibration result'!$L$5</definedName>
    <definedName name="准确度等级">'Calibration result'!$J$6</definedName>
  </definedNames>
  <calcPr calcId="162913"/>
</workbook>
</file>

<file path=xl/calcChain.xml><?xml version="1.0" encoding="utf-8"?>
<calcChain xmlns="http://schemas.openxmlformats.org/spreadsheetml/2006/main">
  <c r="I177" i="16" l="1"/>
  <c r="I176" i="16"/>
  <c r="I175" i="16"/>
  <c r="I174" i="16"/>
  <c r="I173" i="16"/>
  <c r="I172" i="16"/>
  <c r="I171" i="16"/>
  <c r="J169" i="16"/>
  <c r="I167" i="16"/>
  <c r="I166" i="16"/>
  <c r="I165" i="16"/>
  <c r="I164" i="16"/>
  <c r="I163" i="16"/>
  <c r="I162" i="16"/>
  <c r="I161" i="16"/>
  <c r="J159" i="16"/>
  <c r="I157" i="16"/>
  <c r="I156" i="16"/>
  <c r="I155" i="16"/>
  <c r="I154" i="16"/>
  <c r="I153" i="16"/>
  <c r="I152" i="16"/>
  <c r="I151" i="16"/>
  <c r="J149" i="16"/>
  <c r="I147" i="16"/>
  <c r="I146" i="16"/>
  <c r="I145" i="16"/>
  <c r="I144" i="16"/>
  <c r="I143" i="16"/>
  <c r="I142" i="16"/>
  <c r="I141" i="16"/>
  <c r="J139" i="16"/>
  <c r="I133" i="16"/>
  <c r="I132" i="16"/>
  <c r="I131" i="16"/>
  <c r="I130" i="16"/>
  <c r="I129" i="16"/>
  <c r="I128" i="16"/>
  <c r="I127" i="16"/>
  <c r="J125" i="16"/>
  <c r="I123" i="16"/>
  <c r="I122" i="16"/>
  <c r="I121" i="16"/>
  <c r="I120" i="16"/>
  <c r="I119" i="16"/>
  <c r="I118" i="16"/>
  <c r="I117" i="16"/>
  <c r="J115" i="16"/>
  <c r="I113" i="16"/>
  <c r="I112" i="16"/>
  <c r="I111" i="16"/>
  <c r="I110" i="16"/>
  <c r="I109" i="16"/>
  <c r="I108" i="16"/>
  <c r="I107" i="16"/>
  <c r="J105" i="16"/>
  <c r="I103" i="16"/>
  <c r="I102" i="16"/>
  <c r="I101" i="16"/>
  <c r="I100" i="16"/>
  <c r="I99" i="16"/>
  <c r="I98" i="16"/>
  <c r="I97" i="16"/>
  <c r="J95" i="16"/>
  <c r="I89" i="16"/>
  <c r="I88" i="16"/>
  <c r="I87" i="16"/>
  <c r="I86" i="16"/>
  <c r="I85" i="16"/>
  <c r="I84" i="16"/>
  <c r="I83" i="16"/>
  <c r="J81" i="16"/>
  <c r="I79" i="16"/>
  <c r="I78" i="16"/>
  <c r="I77" i="16"/>
  <c r="I76" i="16"/>
  <c r="I75" i="16"/>
  <c r="I74" i="16"/>
  <c r="I73" i="16"/>
  <c r="J71" i="16"/>
  <c r="I69" i="16"/>
  <c r="I68" i="16"/>
  <c r="I67" i="16"/>
  <c r="I66" i="16"/>
  <c r="I65" i="16"/>
  <c r="I64" i="16"/>
  <c r="I63" i="16"/>
  <c r="J61" i="16"/>
  <c r="I59" i="16"/>
  <c r="I58" i="16"/>
  <c r="I57" i="16"/>
  <c r="I56" i="16"/>
  <c r="I55" i="16"/>
  <c r="I54" i="16"/>
  <c r="I53" i="16"/>
  <c r="J51" i="16"/>
  <c r="I45" i="16"/>
  <c r="I44" i="16"/>
  <c r="I43" i="16"/>
  <c r="I42" i="16"/>
  <c r="I41" i="16"/>
  <c r="I40" i="16"/>
  <c r="I39" i="16"/>
  <c r="J37" i="16"/>
  <c r="I35" i="16"/>
  <c r="I34" i="16"/>
  <c r="I33" i="16"/>
  <c r="I32" i="16"/>
  <c r="I31" i="16"/>
  <c r="I30" i="16"/>
  <c r="I29" i="16"/>
  <c r="J27" i="16"/>
  <c r="I25" i="16"/>
  <c r="I24" i="16"/>
  <c r="I23" i="16"/>
  <c r="I22" i="16"/>
  <c r="I21" i="16"/>
  <c r="I20" i="16"/>
  <c r="I19" i="16"/>
  <c r="J17" i="16"/>
  <c r="I9" i="16"/>
  <c r="E169" i="16" l="1"/>
  <c r="E159" i="16"/>
  <c r="E149" i="16"/>
  <c r="E139" i="16"/>
  <c r="E125" i="16"/>
  <c r="E115" i="16"/>
  <c r="E105" i="16"/>
  <c r="E95" i="16"/>
  <c r="E81" i="16"/>
  <c r="E71" i="16"/>
  <c r="E61" i="16"/>
  <c r="E51" i="16"/>
  <c r="E37" i="16"/>
  <c r="E27" i="16"/>
  <c r="E17" i="16"/>
  <c r="E7" i="16"/>
  <c r="I11" i="16" l="1"/>
  <c r="I12" i="16"/>
  <c r="I13" i="16"/>
  <c r="I14" i="16"/>
  <c r="I15" i="16"/>
  <c r="I10" i="16"/>
  <c r="J7" i="16"/>
  <c r="E177" i="16" l="1"/>
  <c r="L177" i="16" s="1"/>
  <c r="D177" i="16"/>
  <c r="J177" i="16" s="1"/>
  <c r="E176" i="16"/>
  <c r="L176" i="16" s="1"/>
  <c r="D176" i="16"/>
  <c r="J176" i="16" s="1"/>
  <c r="E175" i="16"/>
  <c r="L175" i="16" s="1"/>
  <c r="D175" i="16"/>
  <c r="J175" i="16" s="1"/>
  <c r="E174" i="16"/>
  <c r="L174" i="16" s="1"/>
  <c r="D174" i="16"/>
  <c r="J174" i="16" s="1"/>
  <c r="E173" i="16"/>
  <c r="L173" i="16" s="1"/>
  <c r="D173" i="16"/>
  <c r="J173" i="16" s="1"/>
  <c r="E172" i="16"/>
  <c r="L172" i="16" s="1"/>
  <c r="M172" i="16" s="1"/>
  <c r="D172" i="16"/>
  <c r="J172" i="16" s="1"/>
  <c r="E167" i="16"/>
  <c r="L167" i="16" s="1"/>
  <c r="D167" i="16"/>
  <c r="J167" i="16" s="1"/>
  <c r="E166" i="16"/>
  <c r="L166" i="16" s="1"/>
  <c r="D166" i="16"/>
  <c r="J166" i="16" s="1"/>
  <c r="E165" i="16"/>
  <c r="L165" i="16" s="1"/>
  <c r="D165" i="16"/>
  <c r="J165" i="16" s="1"/>
  <c r="E164" i="16"/>
  <c r="L164" i="16" s="1"/>
  <c r="D164" i="16"/>
  <c r="J164" i="16" s="1"/>
  <c r="E163" i="16"/>
  <c r="L163" i="16" s="1"/>
  <c r="D163" i="16"/>
  <c r="J163" i="16" s="1"/>
  <c r="E162" i="16"/>
  <c r="L162" i="16" s="1"/>
  <c r="D162" i="16"/>
  <c r="J162" i="16" s="1"/>
  <c r="E157" i="16"/>
  <c r="L157" i="16" s="1"/>
  <c r="D157" i="16"/>
  <c r="J157" i="16" s="1"/>
  <c r="E156" i="16"/>
  <c r="L156" i="16" s="1"/>
  <c r="D156" i="16"/>
  <c r="J156" i="16" s="1"/>
  <c r="E155" i="16"/>
  <c r="L155" i="16" s="1"/>
  <c r="D155" i="16"/>
  <c r="J155" i="16" s="1"/>
  <c r="E154" i="16"/>
  <c r="L154" i="16" s="1"/>
  <c r="D154" i="16"/>
  <c r="J154" i="16" s="1"/>
  <c r="E153" i="16"/>
  <c r="L153" i="16" s="1"/>
  <c r="D153" i="16"/>
  <c r="J153" i="16" s="1"/>
  <c r="E152" i="16"/>
  <c r="L152" i="16" s="1"/>
  <c r="M152" i="16" s="1"/>
  <c r="D152" i="16"/>
  <c r="J152" i="16" s="1"/>
  <c r="E147" i="16"/>
  <c r="L147" i="16" s="1"/>
  <c r="D147" i="16"/>
  <c r="J147" i="16" s="1"/>
  <c r="E146" i="16"/>
  <c r="L146" i="16" s="1"/>
  <c r="D146" i="16"/>
  <c r="J146" i="16" s="1"/>
  <c r="E145" i="16"/>
  <c r="L145" i="16" s="1"/>
  <c r="D145" i="16"/>
  <c r="J145" i="16" s="1"/>
  <c r="E144" i="16"/>
  <c r="L144" i="16" s="1"/>
  <c r="D144" i="16"/>
  <c r="J144" i="16" s="1"/>
  <c r="E143" i="16"/>
  <c r="L143" i="16" s="1"/>
  <c r="D143" i="16"/>
  <c r="J143" i="16" s="1"/>
  <c r="E142" i="16"/>
  <c r="L142" i="16" s="1"/>
  <c r="D142" i="16"/>
  <c r="J142" i="16" s="1"/>
  <c r="E133" i="16"/>
  <c r="L133" i="16" s="1"/>
  <c r="D133" i="16"/>
  <c r="J133" i="16" s="1"/>
  <c r="E132" i="16"/>
  <c r="L132" i="16" s="1"/>
  <c r="D132" i="16"/>
  <c r="J132" i="16" s="1"/>
  <c r="E131" i="16"/>
  <c r="L131" i="16" s="1"/>
  <c r="D131" i="16"/>
  <c r="J131" i="16" s="1"/>
  <c r="E130" i="16"/>
  <c r="L130" i="16" s="1"/>
  <c r="D130" i="16"/>
  <c r="J130" i="16" s="1"/>
  <c r="E129" i="16"/>
  <c r="L129" i="16" s="1"/>
  <c r="D129" i="16"/>
  <c r="J129" i="16" s="1"/>
  <c r="K128" i="16" s="1"/>
  <c r="E128" i="16"/>
  <c r="L128" i="16" s="1"/>
  <c r="D128" i="16"/>
  <c r="J128" i="16" s="1"/>
  <c r="E123" i="16"/>
  <c r="L123" i="16" s="1"/>
  <c r="D123" i="16"/>
  <c r="J123" i="16" s="1"/>
  <c r="E122" i="16"/>
  <c r="L122" i="16" s="1"/>
  <c r="D122" i="16"/>
  <c r="J122" i="16" s="1"/>
  <c r="E121" i="16"/>
  <c r="L121" i="16" s="1"/>
  <c r="D121" i="16"/>
  <c r="J121" i="16" s="1"/>
  <c r="E120" i="16"/>
  <c r="L120" i="16" s="1"/>
  <c r="D120" i="16"/>
  <c r="J120" i="16" s="1"/>
  <c r="E119" i="16"/>
  <c r="L119" i="16" s="1"/>
  <c r="D119" i="16"/>
  <c r="J119" i="16" s="1"/>
  <c r="E118" i="16"/>
  <c r="L118" i="16" s="1"/>
  <c r="M118" i="16" s="1"/>
  <c r="D118" i="16"/>
  <c r="J118" i="16" s="1"/>
  <c r="E113" i="16"/>
  <c r="L113" i="16" s="1"/>
  <c r="D113" i="16"/>
  <c r="J113" i="16" s="1"/>
  <c r="E112" i="16"/>
  <c r="L112" i="16" s="1"/>
  <c r="D112" i="16"/>
  <c r="J112" i="16" s="1"/>
  <c r="E111" i="16"/>
  <c r="L111" i="16" s="1"/>
  <c r="D111" i="16"/>
  <c r="J111" i="16" s="1"/>
  <c r="E110" i="16"/>
  <c r="L110" i="16" s="1"/>
  <c r="D110" i="16"/>
  <c r="J110" i="16" s="1"/>
  <c r="E109" i="16"/>
  <c r="L109" i="16" s="1"/>
  <c r="D109" i="16"/>
  <c r="J109" i="16" s="1"/>
  <c r="E108" i="16"/>
  <c r="L108" i="16" s="1"/>
  <c r="D108" i="16"/>
  <c r="J108" i="16" s="1"/>
  <c r="E103" i="16"/>
  <c r="L103" i="16" s="1"/>
  <c r="D103" i="16"/>
  <c r="J103" i="16" s="1"/>
  <c r="E102" i="16"/>
  <c r="L102" i="16" s="1"/>
  <c r="D102" i="16"/>
  <c r="J102" i="16" s="1"/>
  <c r="E101" i="16"/>
  <c r="L101" i="16" s="1"/>
  <c r="D101" i="16"/>
  <c r="J101" i="16" s="1"/>
  <c r="E100" i="16"/>
  <c r="L100" i="16" s="1"/>
  <c r="D100" i="16"/>
  <c r="J100" i="16" s="1"/>
  <c r="E99" i="16"/>
  <c r="L99" i="16" s="1"/>
  <c r="D99" i="16"/>
  <c r="J99" i="16" s="1"/>
  <c r="E98" i="16"/>
  <c r="L98" i="16" s="1"/>
  <c r="M98" i="16" s="1"/>
  <c r="D98" i="16"/>
  <c r="J98" i="16" s="1"/>
  <c r="K98" i="16" s="1"/>
  <c r="E89" i="16"/>
  <c r="L89" i="16" s="1"/>
  <c r="D89" i="16"/>
  <c r="J89" i="16" s="1"/>
  <c r="E88" i="16"/>
  <c r="L88" i="16" s="1"/>
  <c r="D88" i="16"/>
  <c r="J88" i="16" s="1"/>
  <c r="E87" i="16"/>
  <c r="L87" i="16" s="1"/>
  <c r="D87" i="16"/>
  <c r="J87" i="16" s="1"/>
  <c r="E86" i="16"/>
  <c r="L86" i="16" s="1"/>
  <c r="D86" i="16"/>
  <c r="J86" i="16" s="1"/>
  <c r="E85" i="16"/>
  <c r="L85" i="16" s="1"/>
  <c r="D85" i="16"/>
  <c r="J85" i="16" s="1"/>
  <c r="E84" i="16"/>
  <c r="L84" i="16" s="1"/>
  <c r="D84" i="16"/>
  <c r="J84" i="16" s="1"/>
  <c r="E79" i="16"/>
  <c r="L79" i="16" s="1"/>
  <c r="D79" i="16"/>
  <c r="J79" i="16" s="1"/>
  <c r="E78" i="16"/>
  <c r="L78" i="16" s="1"/>
  <c r="D78" i="16"/>
  <c r="J78" i="16" s="1"/>
  <c r="E77" i="16"/>
  <c r="L77" i="16" s="1"/>
  <c r="D77" i="16"/>
  <c r="J77" i="16" s="1"/>
  <c r="E76" i="16"/>
  <c r="L76" i="16" s="1"/>
  <c r="D76" i="16"/>
  <c r="J76" i="16" s="1"/>
  <c r="E75" i="16"/>
  <c r="L75" i="16" s="1"/>
  <c r="D75" i="16"/>
  <c r="J75" i="16" s="1"/>
  <c r="K74" i="16" s="1"/>
  <c r="E74" i="16"/>
  <c r="L74" i="16" s="1"/>
  <c r="D74" i="16"/>
  <c r="J74" i="16" s="1"/>
  <c r="E69" i="16"/>
  <c r="L69" i="16" s="1"/>
  <c r="D69" i="16"/>
  <c r="J69" i="16" s="1"/>
  <c r="E68" i="16"/>
  <c r="L68" i="16" s="1"/>
  <c r="D68" i="16"/>
  <c r="J68" i="16" s="1"/>
  <c r="E67" i="16"/>
  <c r="L67" i="16" s="1"/>
  <c r="D67" i="16"/>
  <c r="J67" i="16" s="1"/>
  <c r="E66" i="16"/>
  <c r="L66" i="16" s="1"/>
  <c r="D66" i="16"/>
  <c r="J66" i="16" s="1"/>
  <c r="E65" i="16"/>
  <c r="L65" i="16" s="1"/>
  <c r="D65" i="16"/>
  <c r="J65" i="16" s="1"/>
  <c r="E64" i="16"/>
  <c r="L64" i="16" s="1"/>
  <c r="M64" i="16" s="1"/>
  <c r="D64" i="16"/>
  <c r="J64" i="16" s="1"/>
  <c r="K64" i="16" s="1"/>
  <c r="E59" i="16"/>
  <c r="L59" i="16" s="1"/>
  <c r="D59" i="16"/>
  <c r="J59" i="16" s="1"/>
  <c r="E58" i="16"/>
  <c r="L58" i="16" s="1"/>
  <c r="D58" i="16"/>
  <c r="J58" i="16" s="1"/>
  <c r="E57" i="16"/>
  <c r="L57" i="16" s="1"/>
  <c r="D57" i="16"/>
  <c r="J57" i="16" s="1"/>
  <c r="K54" i="16" s="1"/>
  <c r="E56" i="16"/>
  <c r="L56" i="16" s="1"/>
  <c r="D56" i="16"/>
  <c r="J56" i="16" s="1"/>
  <c r="E55" i="16"/>
  <c r="L55" i="16" s="1"/>
  <c r="D55" i="16"/>
  <c r="J55" i="16" s="1"/>
  <c r="E54" i="16"/>
  <c r="L54" i="16" s="1"/>
  <c r="D54" i="16"/>
  <c r="J54" i="16" s="1"/>
  <c r="E45" i="16"/>
  <c r="L45" i="16" s="1"/>
  <c r="D45" i="16"/>
  <c r="J45" i="16" s="1"/>
  <c r="E44" i="16"/>
  <c r="L44" i="16" s="1"/>
  <c r="D44" i="16"/>
  <c r="J44" i="16" s="1"/>
  <c r="E43" i="16"/>
  <c r="L43" i="16" s="1"/>
  <c r="D43" i="16"/>
  <c r="J43" i="16" s="1"/>
  <c r="E42" i="16"/>
  <c r="L42" i="16" s="1"/>
  <c r="D42" i="16"/>
  <c r="J42" i="16" s="1"/>
  <c r="E41" i="16"/>
  <c r="L41" i="16" s="1"/>
  <c r="D41" i="16"/>
  <c r="J41" i="16" s="1"/>
  <c r="E40" i="16"/>
  <c r="L40" i="16" s="1"/>
  <c r="M40" i="16" s="1"/>
  <c r="D40" i="16"/>
  <c r="J40" i="16" s="1"/>
  <c r="E35" i="16"/>
  <c r="L35" i="16" s="1"/>
  <c r="D35" i="16"/>
  <c r="J35" i="16" s="1"/>
  <c r="E34" i="16"/>
  <c r="L34" i="16" s="1"/>
  <c r="D34" i="16"/>
  <c r="J34" i="16" s="1"/>
  <c r="E33" i="16"/>
  <c r="L33" i="16" s="1"/>
  <c r="D33" i="16"/>
  <c r="J33" i="16" s="1"/>
  <c r="E32" i="16"/>
  <c r="L32" i="16" s="1"/>
  <c r="D32" i="16"/>
  <c r="J32" i="16" s="1"/>
  <c r="E31" i="16"/>
  <c r="L31" i="16" s="1"/>
  <c r="D31" i="16"/>
  <c r="J31" i="16" s="1"/>
  <c r="E30" i="16"/>
  <c r="L30" i="16" s="1"/>
  <c r="D30" i="16"/>
  <c r="J30" i="16" s="1"/>
  <c r="E25" i="16"/>
  <c r="L25" i="16" s="1"/>
  <c r="D25" i="16"/>
  <c r="J25" i="16" s="1"/>
  <c r="E24" i="16"/>
  <c r="L24" i="16" s="1"/>
  <c r="D24" i="16"/>
  <c r="J24" i="16" s="1"/>
  <c r="E23" i="16"/>
  <c r="L23" i="16" s="1"/>
  <c r="D23" i="16"/>
  <c r="J23" i="16" s="1"/>
  <c r="E22" i="16"/>
  <c r="L22" i="16" s="1"/>
  <c r="D22" i="16"/>
  <c r="J22" i="16" s="1"/>
  <c r="E21" i="16"/>
  <c r="L21" i="16" s="1"/>
  <c r="D21" i="16"/>
  <c r="J21" i="16" s="1"/>
  <c r="E20" i="16"/>
  <c r="L20" i="16" s="1"/>
  <c r="D20" i="16"/>
  <c r="J20" i="16" s="1"/>
  <c r="E15" i="16"/>
  <c r="L15" i="16" s="1"/>
  <c r="D15" i="16"/>
  <c r="J15" i="16" s="1"/>
  <c r="E14" i="16"/>
  <c r="L14" i="16" s="1"/>
  <c r="D14" i="16"/>
  <c r="J14" i="16" s="1"/>
  <c r="E13" i="16"/>
  <c r="L13" i="16" s="1"/>
  <c r="D13" i="16"/>
  <c r="J13" i="16" s="1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K20" i="16" l="1"/>
  <c r="M20" i="16"/>
  <c r="M74" i="16"/>
  <c r="M128" i="16"/>
  <c r="K142" i="16"/>
  <c r="K118" i="16"/>
  <c r="K162" i="16"/>
  <c r="K152" i="16"/>
  <c r="K30" i="16"/>
  <c r="M54" i="16"/>
  <c r="M108" i="16"/>
  <c r="M162" i="16"/>
  <c r="K40" i="16"/>
  <c r="K172" i="16"/>
  <c r="M84" i="16"/>
  <c r="K84" i="16"/>
  <c r="K108" i="16"/>
  <c r="M30" i="16"/>
  <c r="M142" i="16"/>
  <c r="L10" i="16"/>
  <c r="M10" i="16" s="1"/>
  <c r="K10" i="16"/>
</calcChain>
</file>

<file path=xl/sharedStrings.xml><?xml version="1.0" encoding="utf-8"?>
<sst xmlns="http://schemas.openxmlformats.org/spreadsheetml/2006/main" count="290" uniqueCount="47">
  <si>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</si>
  <si>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</si>
  <si>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</si>
  <si>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</si>
  <si>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t>CH1</t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</si>
  <si>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</si>
  <si>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</si>
  <si>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</si>
  <si>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</si>
  <si>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</si>
  <si>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</si>
  <si>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</si>
  <si>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</si>
  <si>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</si>
  <si>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</si>
  <si>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</si>
  <si>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</si>
  <si>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</si>
  <si>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</si>
  <si>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</si>
  <si>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</si>
  <si>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</si>
  <si>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</si>
  <si>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</si>
  <si>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</si>
  <si>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备注</t>
    <phoneticPr fontId="8" type="noConversion"/>
  </si>
  <si>
    <t>证书编号：</t>
    <phoneticPr fontId="8" type="noConversion"/>
  </si>
  <si>
    <t>Certificate No.</t>
    <phoneticPr fontId="8" type="noConversion"/>
  </si>
  <si>
    <t>Example</t>
    <phoneticPr fontId="8" type="noConversion"/>
  </si>
  <si>
    <t>Unqualified</t>
    <phoneticPr fontId="8" type="noConversion"/>
  </si>
  <si>
    <t>Qualified</t>
    <phoneticPr fontId="8" type="noConversion"/>
  </si>
  <si>
    <t>Device display value</t>
  </si>
  <si>
    <t>Forward stroke</t>
  </si>
  <si>
    <t>Backward stroke</t>
  </si>
  <si>
    <t>Indication error</t>
  </si>
  <si>
    <t>Return error</t>
  </si>
  <si>
    <t>Unit</t>
  </si>
  <si>
    <t>Calibration Date</t>
    <phoneticPr fontId="8" type="noConversion"/>
  </si>
  <si>
    <t>Channel number</t>
  </si>
  <si>
    <t>Channel number</t>
    <phoneticPr fontId="8" type="noConversion"/>
  </si>
  <si>
    <t>Standard pressure</t>
  </si>
  <si>
    <t>Equipment Number</t>
  </si>
  <si>
    <t>Accuracy</t>
  </si>
  <si>
    <t>Min(Range)</t>
    <phoneticPr fontId="8" type="noConversion"/>
  </si>
  <si>
    <t>Max(Range)</t>
    <phoneticPr fontId="8" type="noConversion"/>
  </si>
  <si>
    <t>丨Indication error丨
/FS</t>
  </si>
  <si>
    <t>丨Return error丨
/FS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</si>
</sst>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9" fontId="6" fillId="2" borderId="0" xfId="5" applyNumberFormat="1" applyFont="1" applyFill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 applyProtection="1">
      <alignment horizontal="center" vertical="center"/>
      <protection locked="0"/>
    </xf>
    <xf numFmtId="0" fontId="6" fillId="0" borderId="9" xfId="2" applyFont="1" applyBorder="1" applyAlignment="1" applyProtection="1">
      <alignment horizontal="center" vertical="center"/>
      <protection locked="0"/>
    </xf>
    <xf numFmtId="0" fontId="6" fillId="0" borderId="3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9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177" fontId="7" fillId="0" borderId="1" xfId="2" applyNumberFormat="1" applyFont="1" applyBorder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177</xdr:row>
      <xdr:rowOff>171450</xdr:rowOff>
    </xdr:from>
    <xdr:to>
      <xdr:col>3</xdr:col>
      <xdr:colOff>949325</xdr:colOff>
      <xdr:row>177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040255" y="37799010"/>
          <a:ext cx="19265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"/>
  <sheetViews>
    <sheetView tabSelected="1" workbookViewId="0">
      <selection activeCell="L8" sqref="L8:L9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26</v>
      </c>
      <c r="F1" s="69"/>
      <c r="G1" s="69"/>
      <c r="L1" s="38" t="s">
        <v>28</v>
      </c>
      <c r="M1" s="19" t="s">
        <v>29</v>
      </c>
      <c r="N1" s="19" t="s">
        <v>30</v>
      </c>
    </row>
    <row r="2" spans="1:15" ht="15" customHeight="1" x14ac:dyDescent="0.15">
      <c r="E2" s="3" t="s">
        <v>27</v>
      </c>
      <c r="F2" s="3"/>
      <c r="L2" s="39"/>
      <c r="M2" s="14">
        <v>5.4000000000000001E-4</v>
      </c>
      <c r="N2" s="14">
        <v>1E-4</v>
      </c>
    </row>
    <row r="3" spans="1:15" ht="23.1" customHeight="1" x14ac:dyDescent="0.15">
      <c r="A3" s="51" t="s">
        <v>20</v>
      </c>
      <c r="B3" s="66"/>
      <c r="C3" s="66"/>
      <c r="D3" s="66"/>
      <c r="E3" s="66"/>
      <c r="F3" s="66"/>
      <c r="G3" s="66"/>
      <c r="I3" s="51" t="s">
        <v>21</v>
      </c>
      <c r="J3" s="51"/>
      <c r="K3" s="51"/>
      <c r="L3" s="51"/>
      <c r="M3" s="51"/>
      <c r="N3" s="15"/>
      <c r="O3" s="15"/>
    </row>
    <row r="4" spans="1:15" ht="11.1" customHeight="1" x14ac:dyDescent="0.15">
      <c r="A4" s="67" t="s">
        <v>0</v>
      </c>
      <c r="B4" s="67"/>
      <c r="C4" s="67"/>
      <c r="D4" s="67"/>
      <c r="E4" s="67"/>
      <c r="F4" s="67"/>
      <c r="G4" s="67"/>
      <c r="I4" s="52" t="s">
        <v>24</v>
      </c>
      <c r="J4" s="52"/>
      <c r="K4" s="52"/>
      <c r="L4" s="52"/>
      <c r="M4" s="52"/>
    </row>
    <row r="5" spans="1:15" ht="39.75" customHeight="1" x14ac:dyDescent="0.15">
      <c r="A5" s="2"/>
      <c r="B5" s="2"/>
      <c r="C5" s="2"/>
      <c r="D5" s="2"/>
      <c r="E5" s="2"/>
      <c r="F5" s="2"/>
      <c r="G5" s="2"/>
      <c r="I5" s="22" t="s">
        <v>41</v>
      </c>
      <c r="J5" s="21"/>
      <c r="K5" s="22" t="s">
        <v>37</v>
      </c>
      <c r="L5" s="20"/>
      <c r="M5" s="22" t="s">
        <v>36</v>
      </c>
      <c r="N5" s="21" t="s">
        <v>23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2" t="s">
        <v>42</v>
      </c>
      <c r="J6" s="17">
        <v>0.05</v>
      </c>
      <c r="K6" s="22" t="s">
        <v>43</v>
      </c>
      <c r="L6" s="16">
        <v>0</v>
      </c>
      <c r="M6" s="22" t="s">
        <v>44</v>
      </c>
      <c r="N6" s="17">
        <v>100</v>
      </c>
    </row>
    <row r="7" spans="1:15" s="6" customFormat="1" ht="26.25" customHeight="1" x14ac:dyDescent="0.15">
      <c r="A7" s="11" t="s">
        <v>38</v>
      </c>
      <c r="B7" s="5" t="s">
        <v>4</v>
      </c>
      <c r="C7" s="11"/>
      <c r="D7" s="12" t="s">
        <v>36</v>
      </c>
      <c r="E7" s="56" t="str">
        <f>$N$5</f>
        <v>psi</v>
      </c>
      <c r="F7" s="56"/>
      <c r="G7" s="4"/>
      <c r="I7" s="73" t="s">
        <v>39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68" t="s">
        <v>40</v>
      </c>
      <c r="B8" s="57" t="s">
        <v>31</v>
      </c>
      <c r="C8" s="59"/>
      <c r="D8" s="60" t="s">
        <v>34</v>
      </c>
      <c r="E8" s="62" t="s">
        <v>35</v>
      </c>
      <c r="F8" s="63"/>
      <c r="G8" s="54" t="s">
        <v>3</v>
      </c>
      <c r="I8" s="36" t="s">
        <v>40</v>
      </c>
      <c r="J8" s="47" t="s">
        <v>45</v>
      </c>
      <c r="K8" s="46" t="s">
        <v>22</v>
      </c>
      <c r="L8" s="45" t="s">
        <v>46</v>
      </c>
      <c r="M8" s="44" t="s">
        <v>22</v>
      </c>
      <c r="N8" s="43" t="s">
        <v>25</v>
      </c>
    </row>
    <row r="9" spans="1:15" s="6" customFormat="1" x14ac:dyDescent="0.15">
      <c r="A9" s="57"/>
      <c r="B9" s="71" t="s">
        <v>32</v>
      </c>
      <c r="C9" s="72" t="s">
        <v>33</v>
      </c>
      <c r="D9" s="61"/>
      <c r="E9" s="64"/>
      <c r="F9" s="65"/>
      <c r="G9" s="55"/>
      <c r="I9" s="37" t="str">
        <f>"（"&amp;$N$5&amp;"）"</f>
        <v>（psi）</v>
      </c>
      <c r="J9" s="47"/>
      <c r="K9" s="46"/>
      <c r="L9" s="45"/>
      <c r="M9" s="44"/>
      <c r="N9" s="44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53">
        <f>ABS(B10-C10)</f>
        <v>0</v>
      </c>
      <c r="F10" s="53"/>
      <c r="G10" s="10">
        <v>1.2999999999999999E-2</v>
      </c>
      <c r="I10" s="26">
        <f t="shared" ref="I10:I15" si="0">A10</f>
        <v>0</v>
      </c>
      <c r="J10" s="14">
        <f>ABS(D10)/($N$6-$L$6)</f>
        <v>0</v>
      </c>
      <c r="K10" s="48">
        <f>MAX(J10:J15)</f>
        <v>0</v>
      </c>
      <c r="L10" s="14">
        <f>ABS(E10)/($N$6-$L$6)</f>
        <v>0</v>
      </c>
      <c r="M10" s="48">
        <f>MAX(L10:L15)</f>
        <v>0</v>
      </c>
      <c r="N10" s="40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:D15" si="1">IF(ABS(B11-A11)&gt;ABS(C11-A11),B11-A11,C11-A11)</f>
        <v>0</v>
      </c>
      <c r="E11" s="53">
        <f t="shared" ref="E11:E15" si="2">ABS(B11-C11)</f>
        <v>0</v>
      </c>
      <c r="F11" s="53"/>
      <c r="G11" s="10">
        <v>1.2999999999999999E-2</v>
      </c>
      <c r="I11" s="26">
        <f t="shared" si="0"/>
        <v>0</v>
      </c>
      <c r="J11" s="14">
        <f t="shared" ref="J11:J15" si="3">ABS(D11)/($N$6-$L$6)</f>
        <v>0</v>
      </c>
      <c r="K11" s="49"/>
      <c r="L11" s="14">
        <f t="shared" ref="L11:L15" si="4">ABS(E11)/($N$6-$L$6)</f>
        <v>0</v>
      </c>
      <c r="M11" s="49"/>
      <c r="N11" s="41"/>
    </row>
    <row r="12" spans="1:15" s="6" customFormat="1" x14ac:dyDescent="0.15">
      <c r="A12" s="23">
        <v>0</v>
      </c>
      <c r="B12" s="23">
        <v>0</v>
      </c>
      <c r="C12" s="24">
        <v>0</v>
      </c>
      <c r="D12" s="25">
        <f t="shared" si="1"/>
        <v>0</v>
      </c>
      <c r="E12" s="53">
        <f t="shared" si="2"/>
        <v>0</v>
      </c>
      <c r="F12" s="53"/>
      <c r="G12" s="10">
        <v>1.2999999999999999E-2</v>
      </c>
      <c r="I12" s="26">
        <f t="shared" si="0"/>
        <v>0</v>
      </c>
      <c r="J12" s="14">
        <f t="shared" si="3"/>
        <v>0</v>
      </c>
      <c r="K12" s="49"/>
      <c r="L12" s="14">
        <f t="shared" si="4"/>
        <v>0</v>
      </c>
      <c r="M12" s="49"/>
      <c r="N12" s="41"/>
    </row>
    <row r="13" spans="1:15" s="6" customFormat="1" x14ac:dyDescent="0.15">
      <c r="A13" s="23">
        <v>0</v>
      </c>
      <c r="B13" s="23">
        <v>0</v>
      </c>
      <c r="C13" s="24">
        <v>0</v>
      </c>
      <c r="D13" s="25">
        <f t="shared" si="1"/>
        <v>0</v>
      </c>
      <c r="E13" s="53">
        <f t="shared" si="2"/>
        <v>0</v>
      </c>
      <c r="F13" s="53"/>
      <c r="G13" s="10">
        <v>1.2999999999999999E-2</v>
      </c>
      <c r="I13" s="26">
        <f t="shared" si="0"/>
        <v>0</v>
      </c>
      <c r="J13" s="14">
        <f t="shared" si="3"/>
        <v>0</v>
      </c>
      <c r="K13" s="49"/>
      <c r="L13" s="14">
        <f t="shared" si="4"/>
        <v>0</v>
      </c>
      <c r="M13" s="49"/>
      <c r="N13" s="41"/>
    </row>
    <row r="14" spans="1:15" s="6" customFormat="1" x14ac:dyDescent="0.15">
      <c r="A14" s="23">
        <v>0</v>
      </c>
      <c r="B14" s="23">
        <v>0</v>
      </c>
      <c r="C14" s="24">
        <v>0</v>
      </c>
      <c r="D14" s="25">
        <f t="shared" si="1"/>
        <v>0</v>
      </c>
      <c r="E14" s="53">
        <f t="shared" si="2"/>
        <v>0</v>
      </c>
      <c r="F14" s="53"/>
      <c r="G14" s="10">
        <v>1.2999999999999999E-2</v>
      </c>
      <c r="I14" s="26">
        <f t="shared" si="0"/>
        <v>0</v>
      </c>
      <c r="J14" s="14">
        <f t="shared" si="3"/>
        <v>0</v>
      </c>
      <c r="K14" s="49"/>
      <c r="L14" s="14">
        <f t="shared" si="4"/>
        <v>0</v>
      </c>
      <c r="M14" s="49"/>
      <c r="N14" s="41"/>
    </row>
    <row r="15" spans="1:15" s="6" customFormat="1" x14ac:dyDescent="0.15">
      <c r="A15" s="23">
        <v>0</v>
      </c>
      <c r="B15" s="23">
        <v>0</v>
      </c>
      <c r="C15" s="24">
        <v>0</v>
      </c>
      <c r="D15" s="25">
        <f t="shared" si="1"/>
        <v>0</v>
      </c>
      <c r="E15" s="53">
        <f t="shared" si="2"/>
        <v>0</v>
      </c>
      <c r="F15" s="53"/>
      <c r="G15" s="10">
        <v>1.2999999999999999E-2</v>
      </c>
      <c r="I15" s="26">
        <f t="shared" si="0"/>
        <v>0</v>
      </c>
      <c r="J15" s="14">
        <f t="shared" si="3"/>
        <v>0</v>
      </c>
      <c r="K15" s="50"/>
      <c r="L15" s="14">
        <f t="shared" si="4"/>
        <v>0</v>
      </c>
      <c r="M15" s="50"/>
      <c r="N15" s="42"/>
    </row>
    <row r="16" spans="1:15" s="6" customFormat="1" x14ac:dyDescent="0.15">
      <c r="A16" s="28"/>
      <c r="B16" s="28"/>
      <c r="C16" s="29"/>
      <c r="D16" s="30"/>
      <c r="E16" s="30"/>
      <c r="F16" s="30"/>
      <c r="G16" s="31"/>
      <c r="I16" s="32"/>
      <c r="J16" s="33"/>
      <c r="K16" s="33"/>
      <c r="L16" s="33"/>
      <c r="M16" s="33"/>
      <c r="N16" s="34"/>
    </row>
    <row r="17" spans="1:14" x14ac:dyDescent="0.15">
      <c r="A17" s="11" t="s">
        <v>38</v>
      </c>
      <c r="B17" s="5" t="s">
        <v>5</v>
      </c>
      <c r="C17" s="11"/>
      <c r="D17" s="12" t="s">
        <v>36</v>
      </c>
      <c r="E17" s="56" t="str">
        <f>$N$5</f>
        <v>psi</v>
      </c>
      <c r="F17" s="56"/>
      <c r="G17" s="4"/>
      <c r="I17" s="73" t="s">
        <v>38</v>
      </c>
      <c r="J17" s="13" t="str">
        <f>B17</f>
        <v>CH2</v>
      </c>
      <c r="K17" s="6"/>
      <c r="L17" s="12"/>
      <c r="M17" s="5"/>
      <c r="N17" s="13"/>
    </row>
    <row r="18" spans="1:14" ht="15" customHeight="1" x14ac:dyDescent="0.15">
      <c r="A18" s="57" t="s">
        <v>40</v>
      </c>
      <c r="B18" s="57" t="s">
        <v>31</v>
      </c>
      <c r="C18" s="59"/>
      <c r="D18" s="60" t="s">
        <v>34</v>
      </c>
      <c r="E18" s="62" t="s">
        <v>35</v>
      </c>
      <c r="F18" s="63"/>
      <c r="G18" s="54" t="s">
        <v>3</v>
      </c>
      <c r="I18" s="36" t="s">
        <v>40</v>
      </c>
      <c r="J18" s="47" t="s">
        <v>45</v>
      </c>
      <c r="K18" s="46" t="s">
        <v>22</v>
      </c>
      <c r="L18" s="45" t="s">
        <v>46</v>
      </c>
      <c r="M18" s="44" t="s">
        <v>22</v>
      </c>
      <c r="N18" s="43" t="s">
        <v>25</v>
      </c>
    </row>
    <row r="19" spans="1:14" x14ac:dyDescent="0.15">
      <c r="A19" s="58"/>
      <c r="B19" s="8" t="s">
        <v>32</v>
      </c>
      <c r="C19" s="9" t="s">
        <v>33</v>
      </c>
      <c r="D19" s="61"/>
      <c r="E19" s="64"/>
      <c r="F19" s="65"/>
      <c r="G19" s="55"/>
      <c r="I19" s="37" t="str">
        <f>"（"&amp;$N$5&amp;"）"</f>
        <v>（psi）</v>
      </c>
      <c r="J19" s="47"/>
      <c r="K19" s="46"/>
      <c r="L19" s="45"/>
      <c r="M19" s="44"/>
      <c r="N19" s="44"/>
    </row>
    <row r="20" spans="1:14" x14ac:dyDescent="0.15">
      <c r="A20" s="23">
        <v>0</v>
      </c>
      <c r="B20" s="23">
        <v>0</v>
      </c>
      <c r="C20" s="24">
        <v>0</v>
      </c>
      <c r="D20" s="25">
        <f>IF(ABS(B20-A20)&gt;ABS(C20-A20),B20-A20,C20-A20)</f>
        <v>0</v>
      </c>
      <c r="E20" s="53">
        <f>ABS(B20-C20)</f>
        <v>0</v>
      </c>
      <c r="F20" s="53"/>
      <c r="G20" s="10">
        <v>1.2999999999999999E-2</v>
      </c>
      <c r="I20" s="26">
        <f t="shared" ref="I20:I25" si="5">A20</f>
        <v>0</v>
      </c>
      <c r="J20" s="14">
        <f>ABS(D20)/($N$6-$L$6)</f>
        <v>0</v>
      </c>
      <c r="K20" s="48">
        <f>MAX(J20:J25)</f>
        <v>0</v>
      </c>
      <c r="L20" s="14">
        <f>ABS(E20)/($N$6-$L$6)</f>
        <v>0</v>
      </c>
      <c r="M20" s="48">
        <f>MAX(L20:L25)</f>
        <v>0</v>
      </c>
      <c r="N20" s="40"/>
    </row>
    <row r="21" spans="1:14" x14ac:dyDescent="0.15">
      <c r="A21" s="23">
        <v>0</v>
      </c>
      <c r="B21" s="23">
        <v>0</v>
      </c>
      <c r="C21" s="24">
        <v>0</v>
      </c>
      <c r="D21" s="25">
        <f t="shared" ref="D21:D25" si="6">IF(ABS(B21-A21)&gt;ABS(C21-A21),B21-A21,C21-A21)</f>
        <v>0</v>
      </c>
      <c r="E21" s="53">
        <f t="shared" ref="E21:E25" si="7">ABS(B21-C21)</f>
        <v>0</v>
      </c>
      <c r="F21" s="53"/>
      <c r="G21" s="10">
        <v>1.2999999999999999E-2</v>
      </c>
      <c r="I21" s="26">
        <f t="shared" si="5"/>
        <v>0</v>
      </c>
      <c r="J21" s="14">
        <f t="shared" ref="J21:J25" si="8">ABS(D21)/($N$6-$L$6)</f>
        <v>0</v>
      </c>
      <c r="K21" s="49"/>
      <c r="L21" s="14">
        <f t="shared" ref="L21:L25" si="9">ABS(E21)/($N$6-$L$6)</f>
        <v>0</v>
      </c>
      <c r="M21" s="49"/>
      <c r="N21" s="41"/>
    </row>
    <row r="22" spans="1:14" x14ac:dyDescent="0.15">
      <c r="A22" s="23">
        <v>0</v>
      </c>
      <c r="B22" s="23">
        <v>0</v>
      </c>
      <c r="C22" s="24">
        <v>0</v>
      </c>
      <c r="D22" s="25">
        <f t="shared" si="6"/>
        <v>0</v>
      </c>
      <c r="E22" s="53">
        <f t="shared" si="7"/>
        <v>0</v>
      </c>
      <c r="F22" s="53"/>
      <c r="G22" s="10">
        <v>1.2999999999999999E-2</v>
      </c>
      <c r="I22" s="26">
        <f t="shared" si="5"/>
        <v>0</v>
      </c>
      <c r="J22" s="14">
        <f t="shared" si="8"/>
        <v>0</v>
      </c>
      <c r="K22" s="49"/>
      <c r="L22" s="14">
        <f t="shared" si="9"/>
        <v>0</v>
      </c>
      <c r="M22" s="49"/>
      <c r="N22" s="41"/>
    </row>
    <row r="23" spans="1:14" x14ac:dyDescent="0.15">
      <c r="A23" s="23">
        <v>0</v>
      </c>
      <c r="B23" s="23">
        <v>0</v>
      </c>
      <c r="C23" s="24">
        <v>0</v>
      </c>
      <c r="D23" s="25">
        <f t="shared" si="6"/>
        <v>0</v>
      </c>
      <c r="E23" s="53">
        <f t="shared" si="7"/>
        <v>0</v>
      </c>
      <c r="F23" s="53"/>
      <c r="G23" s="10">
        <v>1.2999999999999999E-2</v>
      </c>
      <c r="I23" s="26">
        <f t="shared" si="5"/>
        <v>0</v>
      </c>
      <c r="J23" s="14">
        <f t="shared" si="8"/>
        <v>0</v>
      </c>
      <c r="K23" s="49"/>
      <c r="L23" s="14">
        <f t="shared" si="9"/>
        <v>0</v>
      </c>
      <c r="M23" s="49"/>
      <c r="N23" s="41"/>
    </row>
    <row r="24" spans="1:14" x14ac:dyDescent="0.15">
      <c r="A24" s="23">
        <v>0</v>
      </c>
      <c r="B24" s="23">
        <v>0</v>
      </c>
      <c r="C24" s="24">
        <v>0</v>
      </c>
      <c r="D24" s="25">
        <f t="shared" si="6"/>
        <v>0</v>
      </c>
      <c r="E24" s="53">
        <f t="shared" si="7"/>
        <v>0</v>
      </c>
      <c r="F24" s="53"/>
      <c r="G24" s="10">
        <v>1.2999999999999999E-2</v>
      </c>
      <c r="I24" s="26">
        <f t="shared" si="5"/>
        <v>0</v>
      </c>
      <c r="J24" s="14">
        <f t="shared" si="8"/>
        <v>0</v>
      </c>
      <c r="K24" s="49"/>
      <c r="L24" s="14">
        <f t="shared" si="9"/>
        <v>0</v>
      </c>
      <c r="M24" s="49"/>
      <c r="N24" s="41"/>
    </row>
    <row r="25" spans="1:14" x14ac:dyDescent="0.15">
      <c r="A25" s="23">
        <v>0</v>
      </c>
      <c r="B25" s="23">
        <v>0</v>
      </c>
      <c r="C25" s="24">
        <v>0</v>
      </c>
      <c r="D25" s="25">
        <f t="shared" si="6"/>
        <v>0</v>
      </c>
      <c r="E25" s="53">
        <f t="shared" si="7"/>
        <v>0</v>
      </c>
      <c r="F25" s="53"/>
      <c r="G25" s="10">
        <v>1.2999999999999999E-2</v>
      </c>
      <c r="I25" s="26">
        <f t="shared" si="5"/>
        <v>0</v>
      </c>
      <c r="J25" s="14">
        <f t="shared" si="8"/>
        <v>0</v>
      </c>
      <c r="K25" s="50"/>
      <c r="L25" s="14">
        <f t="shared" si="9"/>
        <v>0</v>
      </c>
      <c r="M25" s="50"/>
      <c r="N25" s="42"/>
    </row>
    <row r="26" spans="1:14" x14ac:dyDescent="0.15">
      <c r="A26" s="28"/>
      <c r="B26" s="28"/>
      <c r="C26" s="29"/>
      <c r="D26" s="30"/>
      <c r="E26" s="30"/>
      <c r="F26" s="30"/>
      <c r="G26" s="31"/>
      <c r="I26" s="32"/>
      <c r="J26" s="32"/>
      <c r="K26" s="32"/>
      <c r="L26" s="32"/>
      <c r="M26" s="33"/>
      <c r="N26" s="34"/>
    </row>
    <row r="27" spans="1:14" x14ac:dyDescent="0.15">
      <c r="A27" s="11" t="s">
        <v>38</v>
      </c>
      <c r="B27" s="5" t="s">
        <v>6</v>
      </c>
      <c r="C27" s="11"/>
      <c r="D27" s="12" t="s">
        <v>36</v>
      </c>
      <c r="E27" s="56" t="str">
        <f>$N$5</f>
        <v>psi</v>
      </c>
      <c r="F27" s="56"/>
      <c r="G27" s="4"/>
      <c r="I27" s="18" t="s">
        <v>38</v>
      </c>
      <c r="J27" s="13" t="str">
        <f>B27</f>
        <v>CH3</v>
      </c>
      <c r="K27" s="6"/>
      <c r="L27" s="12"/>
      <c r="M27" s="5"/>
      <c r="N27" s="13"/>
    </row>
    <row r="28" spans="1:14" ht="15" customHeight="1" x14ac:dyDescent="0.15">
      <c r="A28" s="57" t="s">
        <v>40</v>
      </c>
      <c r="B28" s="57" t="s">
        <v>31</v>
      </c>
      <c r="C28" s="59"/>
      <c r="D28" s="60" t="s">
        <v>34</v>
      </c>
      <c r="E28" s="62" t="s">
        <v>35</v>
      </c>
      <c r="F28" s="63"/>
      <c r="G28" s="54" t="s">
        <v>3</v>
      </c>
      <c r="I28" s="36" t="s">
        <v>40</v>
      </c>
      <c r="J28" s="47" t="s">
        <v>45</v>
      </c>
      <c r="K28" s="46" t="s">
        <v>22</v>
      </c>
      <c r="L28" s="45" t="s">
        <v>46</v>
      </c>
      <c r="M28" s="44" t="s">
        <v>22</v>
      </c>
      <c r="N28" s="43" t="s">
        <v>25</v>
      </c>
    </row>
    <row r="29" spans="1:14" x14ac:dyDescent="0.15">
      <c r="A29" s="58"/>
      <c r="B29" s="8" t="s">
        <v>32</v>
      </c>
      <c r="C29" s="9" t="s">
        <v>33</v>
      </c>
      <c r="D29" s="61"/>
      <c r="E29" s="64"/>
      <c r="F29" s="65"/>
      <c r="G29" s="55"/>
      <c r="I29" s="37" t="str">
        <f>"（"&amp;$N$5&amp;"）"</f>
        <v>（psi）</v>
      </c>
      <c r="J29" s="47"/>
      <c r="K29" s="46"/>
      <c r="L29" s="45"/>
      <c r="M29" s="44"/>
      <c r="N29" s="44"/>
    </row>
    <row r="30" spans="1:14" x14ac:dyDescent="0.15">
      <c r="A30" s="23">
        <v>0</v>
      </c>
      <c r="B30" s="23">
        <v>0</v>
      </c>
      <c r="C30" s="24">
        <v>0</v>
      </c>
      <c r="D30" s="25">
        <f>IF(ABS(B30-A30)&gt;ABS(C30-A30),B30-A30,C30-A30)</f>
        <v>0</v>
      </c>
      <c r="E30" s="53">
        <f>ABS(B30-C30)</f>
        <v>0</v>
      </c>
      <c r="F30" s="53"/>
      <c r="G30" s="10">
        <v>1.2999999999999999E-2</v>
      </c>
      <c r="I30" s="26">
        <f t="shared" ref="I30:I35" si="10">A30</f>
        <v>0</v>
      </c>
      <c r="J30" s="14">
        <f>ABS(D30)/($N$6-$L$6)</f>
        <v>0</v>
      </c>
      <c r="K30" s="48">
        <f>MAX(J30:J35)</f>
        <v>0</v>
      </c>
      <c r="L30" s="14">
        <f>ABS(E30)/($N$6-$L$6)</f>
        <v>0</v>
      </c>
      <c r="M30" s="48">
        <f>MAX(L30:L35)</f>
        <v>0</v>
      </c>
      <c r="N30" s="40"/>
    </row>
    <row r="31" spans="1:14" x14ac:dyDescent="0.15">
      <c r="A31" s="23">
        <v>0</v>
      </c>
      <c r="B31" s="23">
        <v>0</v>
      </c>
      <c r="C31" s="24">
        <v>0</v>
      </c>
      <c r="D31" s="25">
        <f t="shared" ref="D31:D35" si="11">IF(ABS(B31-A31)&gt;ABS(C31-A31),B31-A31,C31-A31)</f>
        <v>0</v>
      </c>
      <c r="E31" s="53">
        <f t="shared" ref="E31:E35" si="12">ABS(B31-C31)</f>
        <v>0</v>
      </c>
      <c r="F31" s="53"/>
      <c r="G31" s="10">
        <v>1.2999999999999999E-2</v>
      </c>
      <c r="I31" s="26">
        <f t="shared" si="10"/>
        <v>0</v>
      </c>
      <c r="J31" s="14">
        <f t="shared" ref="J31:J35" si="13">ABS(D31)/($N$6-$L$6)</f>
        <v>0</v>
      </c>
      <c r="K31" s="49"/>
      <c r="L31" s="14">
        <f t="shared" ref="L31:L35" si="14">ABS(E31)/($N$6-$L$6)</f>
        <v>0</v>
      </c>
      <c r="M31" s="49"/>
      <c r="N31" s="41"/>
    </row>
    <row r="32" spans="1:14" x14ac:dyDescent="0.15">
      <c r="A32" s="23">
        <v>0</v>
      </c>
      <c r="B32" s="23">
        <v>0</v>
      </c>
      <c r="C32" s="24">
        <v>0</v>
      </c>
      <c r="D32" s="25">
        <f t="shared" si="11"/>
        <v>0</v>
      </c>
      <c r="E32" s="53">
        <f t="shared" si="12"/>
        <v>0</v>
      </c>
      <c r="F32" s="53"/>
      <c r="G32" s="10">
        <v>1.2999999999999999E-2</v>
      </c>
      <c r="I32" s="26">
        <f t="shared" si="10"/>
        <v>0</v>
      </c>
      <c r="J32" s="14">
        <f t="shared" si="13"/>
        <v>0</v>
      </c>
      <c r="K32" s="49"/>
      <c r="L32" s="14">
        <f t="shared" si="14"/>
        <v>0</v>
      </c>
      <c r="M32" s="49"/>
      <c r="N32" s="41"/>
    </row>
    <row r="33" spans="1:14" x14ac:dyDescent="0.15">
      <c r="A33" s="23">
        <v>0</v>
      </c>
      <c r="B33" s="23">
        <v>0</v>
      </c>
      <c r="C33" s="24">
        <v>0</v>
      </c>
      <c r="D33" s="25">
        <f t="shared" si="11"/>
        <v>0</v>
      </c>
      <c r="E33" s="53">
        <f t="shared" si="12"/>
        <v>0</v>
      </c>
      <c r="F33" s="53"/>
      <c r="G33" s="10">
        <v>1.2999999999999999E-2</v>
      </c>
      <c r="I33" s="26">
        <f t="shared" si="10"/>
        <v>0</v>
      </c>
      <c r="J33" s="14">
        <f t="shared" si="13"/>
        <v>0</v>
      </c>
      <c r="K33" s="49"/>
      <c r="L33" s="14">
        <f t="shared" si="14"/>
        <v>0</v>
      </c>
      <c r="M33" s="49"/>
      <c r="N33" s="41"/>
    </row>
    <row r="34" spans="1:14" x14ac:dyDescent="0.15">
      <c r="A34" s="23">
        <v>0</v>
      </c>
      <c r="B34" s="23">
        <v>0</v>
      </c>
      <c r="C34" s="24">
        <v>0</v>
      </c>
      <c r="D34" s="25">
        <f t="shared" si="11"/>
        <v>0</v>
      </c>
      <c r="E34" s="53">
        <f t="shared" si="12"/>
        <v>0</v>
      </c>
      <c r="F34" s="53"/>
      <c r="G34" s="10">
        <v>1.2999999999999999E-2</v>
      </c>
      <c r="I34" s="26">
        <f t="shared" si="10"/>
        <v>0</v>
      </c>
      <c r="J34" s="14">
        <f t="shared" si="13"/>
        <v>0</v>
      </c>
      <c r="K34" s="49"/>
      <c r="L34" s="14">
        <f t="shared" si="14"/>
        <v>0</v>
      </c>
      <c r="M34" s="49"/>
      <c r="N34" s="41"/>
    </row>
    <row r="35" spans="1:14" x14ac:dyDescent="0.15">
      <c r="A35" s="23">
        <v>0</v>
      </c>
      <c r="B35" s="23">
        <v>0</v>
      </c>
      <c r="C35" s="24">
        <v>0</v>
      </c>
      <c r="D35" s="25">
        <f t="shared" si="11"/>
        <v>0</v>
      </c>
      <c r="E35" s="53">
        <f t="shared" si="12"/>
        <v>0</v>
      </c>
      <c r="F35" s="53"/>
      <c r="G35" s="10">
        <v>1.2999999999999999E-2</v>
      </c>
      <c r="I35" s="26">
        <f t="shared" si="10"/>
        <v>0</v>
      </c>
      <c r="J35" s="14">
        <f t="shared" si="13"/>
        <v>0</v>
      </c>
      <c r="K35" s="50"/>
      <c r="L35" s="14">
        <f t="shared" si="14"/>
        <v>0</v>
      </c>
      <c r="M35" s="50"/>
      <c r="N35" s="42"/>
    </row>
    <row r="36" spans="1:14" x14ac:dyDescent="0.15">
      <c r="A36" s="28"/>
      <c r="B36" s="28"/>
      <c r="C36" s="29"/>
      <c r="D36" s="30"/>
      <c r="E36" s="30"/>
      <c r="F36" s="30"/>
      <c r="G36" s="31"/>
      <c r="I36" s="32"/>
      <c r="J36" s="33"/>
      <c r="K36" s="33"/>
      <c r="L36" s="33"/>
      <c r="M36" s="33"/>
      <c r="N36" s="34"/>
    </row>
    <row r="37" spans="1:14" x14ac:dyDescent="0.15">
      <c r="A37" s="11" t="s">
        <v>38</v>
      </c>
      <c r="B37" s="5" t="s">
        <v>7</v>
      </c>
      <c r="C37" s="11"/>
      <c r="D37" s="12" t="s">
        <v>36</v>
      </c>
      <c r="E37" s="56" t="str">
        <f>$N$5</f>
        <v>psi</v>
      </c>
      <c r="F37" s="56"/>
      <c r="G37" s="4"/>
      <c r="I37" s="18" t="s">
        <v>38</v>
      </c>
      <c r="J37" s="13" t="str">
        <f>B37</f>
        <v>CH4</v>
      </c>
      <c r="K37" s="6"/>
      <c r="L37" s="12"/>
      <c r="M37" s="5"/>
      <c r="N37" s="13"/>
    </row>
    <row r="38" spans="1:14" ht="15" customHeight="1" x14ac:dyDescent="0.15">
      <c r="A38" s="57" t="s">
        <v>40</v>
      </c>
      <c r="B38" s="57" t="s">
        <v>31</v>
      </c>
      <c r="C38" s="59"/>
      <c r="D38" s="60" t="s">
        <v>34</v>
      </c>
      <c r="E38" s="62" t="s">
        <v>35</v>
      </c>
      <c r="F38" s="63"/>
      <c r="G38" s="54" t="s">
        <v>3</v>
      </c>
      <c r="I38" s="36" t="s">
        <v>40</v>
      </c>
      <c r="J38" s="47" t="s">
        <v>45</v>
      </c>
      <c r="K38" s="46" t="s">
        <v>22</v>
      </c>
      <c r="L38" s="45" t="s">
        <v>46</v>
      </c>
      <c r="M38" s="44" t="s">
        <v>22</v>
      </c>
      <c r="N38" s="43" t="s">
        <v>25</v>
      </c>
    </row>
    <row r="39" spans="1:14" x14ac:dyDescent="0.15">
      <c r="A39" s="58"/>
      <c r="B39" s="8" t="s">
        <v>32</v>
      </c>
      <c r="C39" s="9" t="s">
        <v>33</v>
      </c>
      <c r="D39" s="61"/>
      <c r="E39" s="64"/>
      <c r="F39" s="65"/>
      <c r="G39" s="55"/>
      <c r="I39" s="37" t="str">
        <f>"（"&amp;$N$5&amp;"）"</f>
        <v>（psi）</v>
      </c>
      <c r="J39" s="47"/>
      <c r="K39" s="46"/>
      <c r="L39" s="45"/>
      <c r="M39" s="44"/>
      <c r="N39" s="44"/>
    </row>
    <row r="40" spans="1:14" x14ac:dyDescent="0.15">
      <c r="A40" s="23">
        <v>0</v>
      </c>
      <c r="B40" s="23">
        <v>0</v>
      </c>
      <c r="C40" s="24">
        <v>0</v>
      </c>
      <c r="D40" s="25">
        <f>IF(ABS(B40-A40)&gt;ABS(C40-A40),B40-A40,C40-A40)</f>
        <v>0</v>
      </c>
      <c r="E40" s="53">
        <f>ABS(B40-C40)</f>
        <v>0</v>
      </c>
      <c r="F40" s="53"/>
      <c r="G40" s="10">
        <v>1.2999999999999999E-2</v>
      </c>
      <c r="I40" s="26">
        <f t="shared" ref="I40:I45" si="15">A40</f>
        <v>0</v>
      </c>
      <c r="J40" s="14">
        <f>ABS(D40)/($N$6-$L$6)</f>
        <v>0</v>
      </c>
      <c r="K40" s="48">
        <f>MAX(J40:J45)</f>
        <v>0</v>
      </c>
      <c r="L40" s="14">
        <f>ABS(E40)/($N$6-$L$6)</f>
        <v>0</v>
      </c>
      <c r="M40" s="48">
        <f>MAX(L40:L45)</f>
        <v>0</v>
      </c>
      <c r="N40" s="40"/>
    </row>
    <row r="41" spans="1:14" x14ac:dyDescent="0.15">
      <c r="A41" s="23">
        <v>0</v>
      </c>
      <c r="B41" s="23">
        <v>0</v>
      </c>
      <c r="C41" s="24">
        <v>0</v>
      </c>
      <c r="D41" s="25">
        <f t="shared" ref="D41:D45" si="16">IF(ABS(B41-A41)&gt;ABS(C41-A41),B41-A41,C41-A41)</f>
        <v>0</v>
      </c>
      <c r="E41" s="53">
        <f t="shared" ref="E41:E45" si="17">ABS(B41-C41)</f>
        <v>0</v>
      </c>
      <c r="F41" s="53"/>
      <c r="G41" s="10">
        <v>1.2999999999999999E-2</v>
      </c>
      <c r="I41" s="26">
        <f t="shared" si="15"/>
        <v>0</v>
      </c>
      <c r="J41" s="14">
        <f t="shared" ref="J41:J45" si="18">ABS(D41)/($N$6-$L$6)</f>
        <v>0</v>
      </c>
      <c r="K41" s="49"/>
      <c r="L41" s="14">
        <f t="shared" ref="L41:L45" si="19">ABS(E41)/($N$6-$L$6)</f>
        <v>0</v>
      </c>
      <c r="M41" s="49"/>
      <c r="N41" s="41"/>
    </row>
    <row r="42" spans="1:14" x14ac:dyDescent="0.15">
      <c r="A42" s="23">
        <v>0</v>
      </c>
      <c r="B42" s="23">
        <v>0</v>
      </c>
      <c r="C42" s="24">
        <v>0</v>
      </c>
      <c r="D42" s="25">
        <f t="shared" si="16"/>
        <v>0</v>
      </c>
      <c r="E42" s="53">
        <f t="shared" si="17"/>
        <v>0</v>
      </c>
      <c r="F42" s="53"/>
      <c r="G42" s="10">
        <v>1.2999999999999999E-2</v>
      </c>
      <c r="I42" s="26">
        <f t="shared" si="15"/>
        <v>0</v>
      </c>
      <c r="J42" s="14">
        <f t="shared" si="18"/>
        <v>0</v>
      </c>
      <c r="K42" s="49"/>
      <c r="L42" s="14">
        <f t="shared" si="19"/>
        <v>0</v>
      </c>
      <c r="M42" s="49"/>
      <c r="N42" s="41"/>
    </row>
    <row r="43" spans="1:14" x14ac:dyDescent="0.15">
      <c r="A43" s="23">
        <v>0</v>
      </c>
      <c r="B43" s="23">
        <v>0</v>
      </c>
      <c r="C43" s="24">
        <v>0</v>
      </c>
      <c r="D43" s="25">
        <f t="shared" si="16"/>
        <v>0</v>
      </c>
      <c r="E43" s="53">
        <f t="shared" si="17"/>
        <v>0</v>
      </c>
      <c r="F43" s="53"/>
      <c r="G43" s="10">
        <v>1.2999999999999999E-2</v>
      </c>
      <c r="I43" s="26">
        <f t="shared" si="15"/>
        <v>0</v>
      </c>
      <c r="J43" s="14">
        <f t="shared" si="18"/>
        <v>0</v>
      </c>
      <c r="K43" s="49"/>
      <c r="L43" s="14">
        <f t="shared" si="19"/>
        <v>0</v>
      </c>
      <c r="M43" s="49"/>
      <c r="N43" s="41"/>
    </row>
    <row r="44" spans="1:14" x14ac:dyDescent="0.15">
      <c r="A44" s="23">
        <v>0</v>
      </c>
      <c r="B44" s="23">
        <v>0</v>
      </c>
      <c r="C44" s="24">
        <v>0</v>
      </c>
      <c r="D44" s="25">
        <f t="shared" si="16"/>
        <v>0</v>
      </c>
      <c r="E44" s="53">
        <f t="shared" si="17"/>
        <v>0</v>
      </c>
      <c r="F44" s="53"/>
      <c r="G44" s="10">
        <v>1.2999999999999999E-2</v>
      </c>
      <c r="I44" s="26">
        <f t="shared" si="15"/>
        <v>0</v>
      </c>
      <c r="J44" s="14">
        <f t="shared" si="18"/>
        <v>0</v>
      </c>
      <c r="K44" s="49"/>
      <c r="L44" s="14">
        <f t="shared" si="19"/>
        <v>0</v>
      </c>
      <c r="M44" s="49"/>
      <c r="N44" s="41"/>
    </row>
    <row r="45" spans="1:14" x14ac:dyDescent="0.15">
      <c r="A45" s="23">
        <v>0</v>
      </c>
      <c r="B45" s="23">
        <v>0</v>
      </c>
      <c r="C45" s="24">
        <v>0</v>
      </c>
      <c r="D45" s="25">
        <f t="shared" si="16"/>
        <v>0</v>
      </c>
      <c r="E45" s="53">
        <f t="shared" si="17"/>
        <v>0</v>
      </c>
      <c r="F45" s="53"/>
      <c r="G45" s="10">
        <v>1.2999999999999999E-2</v>
      </c>
      <c r="I45" s="26">
        <f t="shared" si="15"/>
        <v>0</v>
      </c>
      <c r="J45" s="14">
        <f t="shared" si="18"/>
        <v>0</v>
      </c>
      <c r="K45" s="50"/>
      <c r="L45" s="14">
        <f t="shared" si="19"/>
        <v>0</v>
      </c>
      <c r="M45" s="50"/>
      <c r="N45" s="42"/>
    </row>
    <row r="46" spans="1:14" x14ac:dyDescent="0.15">
      <c r="A46" s="28"/>
      <c r="B46" s="28"/>
      <c r="C46" s="29"/>
      <c r="D46" s="30"/>
      <c r="E46" s="30"/>
      <c r="F46" s="30"/>
      <c r="G46" s="31"/>
      <c r="I46" s="32"/>
      <c r="J46" s="33"/>
      <c r="K46" s="33"/>
      <c r="L46" s="33"/>
      <c r="M46" s="33"/>
      <c r="N46" s="34"/>
    </row>
    <row r="47" spans="1:14" x14ac:dyDescent="0.15">
      <c r="A47" s="28"/>
      <c r="B47" s="28"/>
      <c r="C47" s="29"/>
      <c r="D47" s="30"/>
      <c r="E47" s="30"/>
      <c r="F47" s="30"/>
      <c r="G47" s="31"/>
      <c r="I47" s="32"/>
      <c r="J47" s="33"/>
      <c r="K47" s="33"/>
      <c r="L47" s="33"/>
      <c r="M47" s="33"/>
      <c r="N47" s="34"/>
    </row>
    <row r="48" spans="1:14" x14ac:dyDescent="0.15">
      <c r="A48" s="28"/>
      <c r="B48" s="28"/>
      <c r="C48" s="29"/>
      <c r="D48" s="30"/>
      <c r="E48" s="30"/>
      <c r="F48" s="30"/>
      <c r="G48" s="31"/>
      <c r="I48" s="32"/>
      <c r="J48" s="33"/>
      <c r="K48" s="33"/>
      <c r="L48" s="33"/>
      <c r="M48" s="33"/>
      <c r="N48" s="34"/>
    </row>
    <row r="49" spans="1:14" x14ac:dyDescent="0.15">
      <c r="A49" s="28"/>
      <c r="B49" s="28"/>
      <c r="C49" s="29"/>
      <c r="D49" s="30"/>
      <c r="E49" s="30"/>
      <c r="F49" s="30"/>
      <c r="G49" s="31"/>
      <c r="I49" s="32"/>
      <c r="J49" s="33"/>
      <c r="K49" s="33"/>
      <c r="L49" s="33"/>
      <c r="M49" s="33"/>
      <c r="N49" s="34"/>
    </row>
    <row r="50" spans="1:14" x14ac:dyDescent="0.15">
      <c r="A50" s="28"/>
      <c r="B50" s="28"/>
      <c r="C50" s="29"/>
      <c r="D50" s="30"/>
      <c r="E50" s="30"/>
      <c r="F50" s="30"/>
      <c r="G50" s="31"/>
      <c r="I50" s="32"/>
      <c r="J50" s="33"/>
      <c r="K50" s="33"/>
      <c r="L50" s="33"/>
      <c r="M50" s="33"/>
      <c r="N50" s="34"/>
    </row>
    <row r="51" spans="1:14" x14ac:dyDescent="0.15">
      <c r="A51" s="11" t="s">
        <v>38</v>
      </c>
      <c r="B51" s="5" t="s">
        <v>8</v>
      </c>
      <c r="C51" s="11"/>
      <c r="D51" s="12" t="s">
        <v>36</v>
      </c>
      <c r="E51" s="56" t="str">
        <f>$N$5</f>
        <v>psi</v>
      </c>
      <c r="F51" s="56"/>
      <c r="G51" s="4"/>
      <c r="I51" s="18" t="s">
        <v>38</v>
      </c>
      <c r="J51" s="13" t="str">
        <f>B51</f>
        <v>CH5</v>
      </c>
      <c r="K51" s="6"/>
      <c r="L51" s="12"/>
      <c r="M51" s="5"/>
      <c r="N51" s="13"/>
    </row>
    <row r="52" spans="1:14" ht="15" customHeight="1" x14ac:dyDescent="0.15">
      <c r="A52" s="57" t="s">
        <v>40</v>
      </c>
      <c r="B52" s="57" t="s">
        <v>31</v>
      </c>
      <c r="C52" s="59"/>
      <c r="D52" s="60" t="s">
        <v>34</v>
      </c>
      <c r="E52" s="62" t="s">
        <v>35</v>
      </c>
      <c r="F52" s="63"/>
      <c r="G52" s="54" t="s">
        <v>3</v>
      </c>
      <c r="I52" s="36" t="s">
        <v>40</v>
      </c>
      <c r="J52" s="47" t="s">
        <v>45</v>
      </c>
      <c r="K52" s="46" t="s">
        <v>22</v>
      </c>
      <c r="L52" s="45" t="s">
        <v>46</v>
      </c>
      <c r="M52" s="44" t="s">
        <v>22</v>
      </c>
      <c r="N52" s="43" t="s">
        <v>25</v>
      </c>
    </row>
    <row r="53" spans="1:14" x14ac:dyDescent="0.15">
      <c r="A53" s="58"/>
      <c r="B53" s="8" t="s">
        <v>32</v>
      </c>
      <c r="C53" s="9" t="s">
        <v>33</v>
      </c>
      <c r="D53" s="61"/>
      <c r="E53" s="64"/>
      <c r="F53" s="65"/>
      <c r="G53" s="55"/>
      <c r="I53" s="37" t="str">
        <f>"（"&amp;$N$5&amp;"）"</f>
        <v>（psi）</v>
      </c>
      <c r="J53" s="47"/>
      <c r="K53" s="46"/>
      <c r="L53" s="45"/>
      <c r="M53" s="44"/>
      <c r="N53" s="44"/>
    </row>
    <row r="54" spans="1:14" x14ac:dyDescent="0.15">
      <c r="A54" s="23">
        <v>0</v>
      </c>
      <c r="B54" s="23">
        <v>0</v>
      </c>
      <c r="C54" s="24">
        <v>0</v>
      </c>
      <c r="D54" s="25">
        <f>IF(ABS(B54-A54)&gt;ABS(C54-A54),B54-A54,C54-A54)</f>
        <v>0</v>
      </c>
      <c r="E54" s="53">
        <f>ABS(B54-C54)</f>
        <v>0</v>
      </c>
      <c r="F54" s="53"/>
      <c r="G54" s="10">
        <v>1.2999999999999999E-2</v>
      </c>
      <c r="I54" s="26">
        <f t="shared" ref="I54:I59" si="20">A54</f>
        <v>0</v>
      </c>
      <c r="J54" s="14">
        <f>ABS(D54)/($N$6-$L$6)</f>
        <v>0</v>
      </c>
      <c r="K54" s="48">
        <f>MAX(J54:J59)</f>
        <v>0</v>
      </c>
      <c r="L54" s="14">
        <f>ABS(E54)/($N$6-$L$6)</f>
        <v>0</v>
      </c>
      <c r="M54" s="48">
        <f>MAX(L54:L59)</f>
        <v>0</v>
      </c>
      <c r="N54" s="40"/>
    </row>
    <row r="55" spans="1:14" x14ac:dyDescent="0.15">
      <c r="A55" s="23">
        <v>0</v>
      </c>
      <c r="B55" s="23">
        <v>0</v>
      </c>
      <c r="C55" s="24">
        <v>0</v>
      </c>
      <c r="D55" s="25">
        <f t="shared" ref="D55:D59" si="21">IF(ABS(B55-A55)&gt;ABS(C55-A55),B55-A55,C55-A55)</f>
        <v>0</v>
      </c>
      <c r="E55" s="53">
        <f t="shared" ref="E55:E59" si="22">ABS(B55-C55)</f>
        <v>0</v>
      </c>
      <c r="F55" s="53"/>
      <c r="G55" s="10">
        <v>1.2999999999999999E-2</v>
      </c>
      <c r="I55" s="26">
        <f t="shared" si="20"/>
        <v>0</v>
      </c>
      <c r="J55" s="14">
        <f t="shared" ref="J55:J59" si="23">ABS(D55)/($N$6-$L$6)</f>
        <v>0</v>
      </c>
      <c r="K55" s="49"/>
      <c r="L55" s="14">
        <f t="shared" ref="L55:L59" si="24">ABS(E55)/($N$6-$L$6)</f>
        <v>0</v>
      </c>
      <c r="M55" s="49"/>
      <c r="N55" s="41"/>
    </row>
    <row r="56" spans="1:14" x14ac:dyDescent="0.15">
      <c r="A56" s="23">
        <v>0</v>
      </c>
      <c r="B56" s="23">
        <v>0</v>
      </c>
      <c r="C56" s="24">
        <v>0</v>
      </c>
      <c r="D56" s="25">
        <f t="shared" si="21"/>
        <v>0</v>
      </c>
      <c r="E56" s="53">
        <f t="shared" si="22"/>
        <v>0</v>
      </c>
      <c r="F56" s="53"/>
      <c r="G56" s="10">
        <v>1.2999999999999999E-2</v>
      </c>
      <c r="I56" s="26">
        <f t="shared" si="20"/>
        <v>0</v>
      </c>
      <c r="J56" s="14">
        <f t="shared" si="23"/>
        <v>0</v>
      </c>
      <c r="K56" s="49"/>
      <c r="L56" s="14">
        <f t="shared" si="24"/>
        <v>0</v>
      </c>
      <c r="M56" s="49"/>
      <c r="N56" s="41"/>
    </row>
    <row r="57" spans="1:14" x14ac:dyDescent="0.15">
      <c r="A57" s="23">
        <v>0</v>
      </c>
      <c r="B57" s="23">
        <v>0</v>
      </c>
      <c r="C57" s="24">
        <v>0</v>
      </c>
      <c r="D57" s="25">
        <f t="shared" si="21"/>
        <v>0</v>
      </c>
      <c r="E57" s="53">
        <f t="shared" si="22"/>
        <v>0</v>
      </c>
      <c r="F57" s="53"/>
      <c r="G57" s="10">
        <v>1.2999999999999999E-2</v>
      </c>
      <c r="I57" s="26">
        <f t="shared" si="20"/>
        <v>0</v>
      </c>
      <c r="J57" s="14">
        <f t="shared" si="23"/>
        <v>0</v>
      </c>
      <c r="K57" s="49"/>
      <c r="L57" s="14">
        <f t="shared" si="24"/>
        <v>0</v>
      </c>
      <c r="M57" s="49"/>
      <c r="N57" s="41"/>
    </row>
    <row r="58" spans="1:14" x14ac:dyDescent="0.15">
      <c r="A58" s="23">
        <v>0</v>
      </c>
      <c r="B58" s="23">
        <v>0</v>
      </c>
      <c r="C58" s="24">
        <v>0</v>
      </c>
      <c r="D58" s="25">
        <f t="shared" si="21"/>
        <v>0</v>
      </c>
      <c r="E58" s="53">
        <f t="shared" si="22"/>
        <v>0</v>
      </c>
      <c r="F58" s="53"/>
      <c r="G58" s="10">
        <v>1.2999999999999999E-2</v>
      </c>
      <c r="I58" s="26">
        <f t="shared" si="20"/>
        <v>0</v>
      </c>
      <c r="J58" s="14">
        <f t="shared" si="23"/>
        <v>0</v>
      </c>
      <c r="K58" s="49"/>
      <c r="L58" s="14">
        <f t="shared" si="24"/>
        <v>0</v>
      </c>
      <c r="M58" s="49"/>
      <c r="N58" s="41"/>
    </row>
    <row r="59" spans="1:14" x14ac:dyDescent="0.15">
      <c r="A59" s="23">
        <v>0</v>
      </c>
      <c r="B59" s="23">
        <v>0</v>
      </c>
      <c r="C59" s="24">
        <v>0</v>
      </c>
      <c r="D59" s="25">
        <f t="shared" si="21"/>
        <v>0</v>
      </c>
      <c r="E59" s="53">
        <f t="shared" si="22"/>
        <v>0</v>
      </c>
      <c r="F59" s="53"/>
      <c r="G59" s="10">
        <v>1.2999999999999999E-2</v>
      </c>
      <c r="I59" s="26">
        <f t="shared" si="20"/>
        <v>0</v>
      </c>
      <c r="J59" s="14">
        <f t="shared" si="23"/>
        <v>0</v>
      </c>
      <c r="K59" s="50"/>
      <c r="L59" s="14">
        <f t="shared" si="24"/>
        <v>0</v>
      </c>
      <c r="M59" s="50"/>
      <c r="N59" s="42"/>
    </row>
    <row r="60" spans="1:14" x14ac:dyDescent="0.15">
      <c r="A60" s="28"/>
      <c r="B60" s="28"/>
      <c r="C60" s="29"/>
      <c r="D60" s="30"/>
      <c r="E60" s="30"/>
      <c r="F60" s="30"/>
      <c r="G60" s="31"/>
      <c r="I60" s="32"/>
      <c r="J60" s="33"/>
      <c r="K60" s="33"/>
      <c r="L60" s="33"/>
      <c r="M60" s="33"/>
      <c r="N60" s="34"/>
    </row>
    <row r="61" spans="1:14" x14ac:dyDescent="0.15">
      <c r="A61" s="11" t="s">
        <v>38</v>
      </c>
      <c r="B61" s="5" t="s">
        <v>9</v>
      </c>
      <c r="C61" s="11"/>
      <c r="D61" s="12" t="s">
        <v>36</v>
      </c>
      <c r="E61" s="56" t="str">
        <f>$N$5</f>
        <v>psi</v>
      </c>
      <c r="F61" s="56"/>
      <c r="G61" s="4"/>
      <c r="I61" s="18" t="s">
        <v>38</v>
      </c>
      <c r="J61" s="13" t="str">
        <f>B61</f>
        <v>CH6</v>
      </c>
      <c r="K61" s="6"/>
      <c r="L61" s="12"/>
      <c r="M61" s="5"/>
      <c r="N61" s="13"/>
    </row>
    <row r="62" spans="1:14" ht="15" customHeight="1" x14ac:dyDescent="0.15">
      <c r="A62" s="57" t="s">
        <v>40</v>
      </c>
      <c r="B62" s="57" t="s">
        <v>31</v>
      </c>
      <c r="C62" s="59"/>
      <c r="D62" s="60" t="s">
        <v>34</v>
      </c>
      <c r="E62" s="62" t="s">
        <v>35</v>
      </c>
      <c r="F62" s="63"/>
      <c r="G62" s="54" t="s">
        <v>3</v>
      </c>
      <c r="I62" s="36" t="s">
        <v>40</v>
      </c>
      <c r="J62" s="47" t="s">
        <v>45</v>
      </c>
      <c r="K62" s="46" t="s">
        <v>22</v>
      </c>
      <c r="L62" s="45" t="s">
        <v>46</v>
      </c>
      <c r="M62" s="44" t="s">
        <v>22</v>
      </c>
      <c r="N62" s="43" t="s">
        <v>25</v>
      </c>
    </row>
    <row r="63" spans="1:14" x14ac:dyDescent="0.15">
      <c r="A63" s="58"/>
      <c r="B63" s="8" t="s">
        <v>32</v>
      </c>
      <c r="C63" s="9" t="s">
        <v>33</v>
      </c>
      <c r="D63" s="61"/>
      <c r="E63" s="64"/>
      <c r="F63" s="65"/>
      <c r="G63" s="55"/>
      <c r="I63" s="37" t="str">
        <f>"（"&amp;$N$5&amp;"）"</f>
        <v>（psi）</v>
      </c>
      <c r="J63" s="47"/>
      <c r="K63" s="46"/>
      <c r="L63" s="45"/>
      <c r="M63" s="44"/>
      <c r="N63" s="44"/>
    </row>
    <row r="64" spans="1:14" x14ac:dyDescent="0.15">
      <c r="A64" s="23">
        <v>0</v>
      </c>
      <c r="B64" s="23">
        <v>0</v>
      </c>
      <c r="C64" s="24">
        <v>0</v>
      </c>
      <c r="D64" s="25">
        <f>IF(ABS(B64-A64)&gt;ABS(C64-A64),B64-A64,C64-A64)</f>
        <v>0</v>
      </c>
      <c r="E64" s="53">
        <f>ABS(B64-C64)</f>
        <v>0</v>
      </c>
      <c r="F64" s="53"/>
      <c r="G64" s="10">
        <v>1.2999999999999999E-2</v>
      </c>
      <c r="I64" s="26">
        <f t="shared" ref="I64:I69" si="25">A64</f>
        <v>0</v>
      </c>
      <c r="J64" s="14">
        <f>ABS(D64)/($N$6-$L$6)</f>
        <v>0</v>
      </c>
      <c r="K64" s="48">
        <f>MAX(J64:J69)</f>
        <v>0</v>
      </c>
      <c r="L64" s="14">
        <f>ABS(E64)/($N$6-$L$6)</f>
        <v>0</v>
      </c>
      <c r="M64" s="48">
        <f>MAX(L64:L69)</f>
        <v>0</v>
      </c>
      <c r="N64" s="40"/>
    </row>
    <row r="65" spans="1:14" x14ac:dyDescent="0.15">
      <c r="A65" s="23">
        <v>0</v>
      </c>
      <c r="B65" s="23">
        <v>0</v>
      </c>
      <c r="C65" s="24">
        <v>0</v>
      </c>
      <c r="D65" s="25">
        <f t="shared" ref="D65:D69" si="26">IF(ABS(B65-A65)&gt;ABS(C65-A65),B65-A65,C65-A65)</f>
        <v>0</v>
      </c>
      <c r="E65" s="53">
        <f t="shared" ref="E65:E69" si="27">ABS(B65-C65)</f>
        <v>0</v>
      </c>
      <c r="F65" s="53"/>
      <c r="G65" s="10">
        <v>1.2999999999999999E-2</v>
      </c>
      <c r="I65" s="26">
        <f t="shared" si="25"/>
        <v>0</v>
      </c>
      <c r="J65" s="14">
        <f t="shared" ref="J65:J69" si="28">ABS(D65)/($N$6-$L$6)</f>
        <v>0</v>
      </c>
      <c r="K65" s="49"/>
      <c r="L65" s="14">
        <f t="shared" ref="L65:L69" si="29">ABS(E65)/($N$6-$L$6)</f>
        <v>0</v>
      </c>
      <c r="M65" s="49"/>
      <c r="N65" s="41"/>
    </row>
    <row r="66" spans="1:14" x14ac:dyDescent="0.15">
      <c r="A66" s="23">
        <v>0</v>
      </c>
      <c r="B66" s="23">
        <v>0</v>
      </c>
      <c r="C66" s="24">
        <v>0</v>
      </c>
      <c r="D66" s="25">
        <f t="shared" si="26"/>
        <v>0</v>
      </c>
      <c r="E66" s="53">
        <f t="shared" si="27"/>
        <v>0</v>
      </c>
      <c r="F66" s="53"/>
      <c r="G66" s="10">
        <v>1.2999999999999999E-2</v>
      </c>
      <c r="I66" s="26">
        <f t="shared" si="25"/>
        <v>0</v>
      </c>
      <c r="J66" s="14">
        <f t="shared" si="28"/>
        <v>0</v>
      </c>
      <c r="K66" s="49"/>
      <c r="L66" s="14">
        <f t="shared" si="29"/>
        <v>0</v>
      </c>
      <c r="M66" s="49"/>
      <c r="N66" s="41"/>
    </row>
    <row r="67" spans="1:14" x14ac:dyDescent="0.15">
      <c r="A67" s="23">
        <v>0</v>
      </c>
      <c r="B67" s="23">
        <v>0</v>
      </c>
      <c r="C67" s="24">
        <v>0</v>
      </c>
      <c r="D67" s="25">
        <f t="shared" si="26"/>
        <v>0</v>
      </c>
      <c r="E67" s="53">
        <f t="shared" si="27"/>
        <v>0</v>
      </c>
      <c r="F67" s="53"/>
      <c r="G67" s="10">
        <v>1.2999999999999999E-2</v>
      </c>
      <c r="I67" s="26">
        <f t="shared" si="25"/>
        <v>0</v>
      </c>
      <c r="J67" s="14">
        <f t="shared" si="28"/>
        <v>0</v>
      </c>
      <c r="K67" s="49"/>
      <c r="L67" s="14">
        <f t="shared" si="29"/>
        <v>0</v>
      </c>
      <c r="M67" s="49"/>
      <c r="N67" s="41"/>
    </row>
    <row r="68" spans="1:14" x14ac:dyDescent="0.15">
      <c r="A68" s="23">
        <v>0</v>
      </c>
      <c r="B68" s="23">
        <v>0</v>
      </c>
      <c r="C68" s="24">
        <v>0</v>
      </c>
      <c r="D68" s="25">
        <f t="shared" si="26"/>
        <v>0</v>
      </c>
      <c r="E68" s="53">
        <f t="shared" si="27"/>
        <v>0</v>
      </c>
      <c r="F68" s="53"/>
      <c r="G68" s="10">
        <v>1.2999999999999999E-2</v>
      </c>
      <c r="I68" s="26">
        <f t="shared" si="25"/>
        <v>0</v>
      </c>
      <c r="J68" s="14">
        <f t="shared" si="28"/>
        <v>0</v>
      </c>
      <c r="K68" s="49"/>
      <c r="L68" s="14">
        <f t="shared" si="29"/>
        <v>0</v>
      </c>
      <c r="M68" s="49"/>
      <c r="N68" s="41"/>
    </row>
    <row r="69" spans="1:14" x14ac:dyDescent="0.15">
      <c r="A69" s="23">
        <v>0</v>
      </c>
      <c r="B69" s="23">
        <v>0</v>
      </c>
      <c r="C69" s="24">
        <v>0</v>
      </c>
      <c r="D69" s="25">
        <f t="shared" si="26"/>
        <v>0</v>
      </c>
      <c r="E69" s="53">
        <f t="shared" si="27"/>
        <v>0</v>
      </c>
      <c r="F69" s="53"/>
      <c r="G69" s="10">
        <v>1.2999999999999999E-2</v>
      </c>
      <c r="I69" s="26">
        <f t="shared" si="25"/>
        <v>0</v>
      </c>
      <c r="J69" s="14">
        <f t="shared" si="28"/>
        <v>0</v>
      </c>
      <c r="K69" s="50"/>
      <c r="L69" s="14">
        <f t="shared" si="29"/>
        <v>0</v>
      </c>
      <c r="M69" s="50"/>
      <c r="N69" s="42"/>
    </row>
    <row r="70" spans="1:14" x14ac:dyDescent="0.15">
      <c r="A70" s="28"/>
      <c r="B70" s="28"/>
      <c r="C70" s="29"/>
      <c r="D70" s="30"/>
      <c r="E70" s="30"/>
      <c r="F70" s="30"/>
      <c r="G70" s="31"/>
      <c r="I70" s="32"/>
      <c r="J70" s="32"/>
      <c r="K70" s="32"/>
      <c r="L70" s="32"/>
      <c r="M70" s="32"/>
      <c r="N70" s="34"/>
    </row>
    <row r="71" spans="1:14" x14ac:dyDescent="0.15">
      <c r="A71" s="11" t="s">
        <v>38</v>
      </c>
      <c r="B71" s="5" t="s">
        <v>10</v>
      </c>
      <c r="C71" s="11"/>
      <c r="D71" s="12" t="s">
        <v>36</v>
      </c>
      <c r="E71" s="56" t="str">
        <f>$N$5</f>
        <v>psi</v>
      </c>
      <c r="F71" s="56"/>
      <c r="G71" s="4"/>
      <c r="I71" s="18" t="s">
        <v>38</v>
      </c>
      <c r="J71" s="13" t="str">
        <f>B71</f>
        <v>CH7</v>
      </c>
      <c r="K71" s="6"/>
      <c r="L71" s="12"/>
      <c r="M71" s="5"/>
      <c r="N71" s="13"/>
    </row>
    <row r="72" spans="1:14" ht="15" customHeight="1" x14ac:dyDescent="0.15">
      <c r="A72" s="57" t="s">
        <v>40</v>
      </c>
      <c r="B72" s="57" t="s">
        <v>31</v>
      </c>
      <c r="C72" s="59"/>
      <c r="D72" s="60" t="s">
        <v>34</v>
      </c>
      <c r="E72" s="62" t="s">
        <v>35</v>
      </c>
      <c r="F72" s="63"/>
      <c r="G72" s="54" t="s">
        <v>3</v>
      </c>
      <c r="I72" s="36" t="s">
        <v>40</v>
      </c>
      <c r="J72" s="47" t="s">
        <v>45</v>
      </c>
      <c r="K72" s="46" t="s">
        <v>22</v>
      </c>
      <c r="L72" s="45" t="s">
        <v>46</v>
      </c>
      <c r="M72" s="44" t="s">
        <v>22</v>
      </c>
      <c r="N72" s="43" t="s">
        <v>25</v>
      </c>
    </row>
    <row r="73" spans="1:14" x14ac:dyDescent="0.15">
      <c r="A73" s="58"/>
      <c r="B73" s="8" t="s">
        <v>32</v>
      </c>
      <c r="C73" s="9" t="s">
        <v>33</v>
      </c>
      <c r="D73" s="61"/>
      <c r="E73" s="64"/>
      <c r="F73" s="65"/>
      <c r="G73" s="55"/>
      <c r="I73" s="37" t="str">
        <f>"（"&amp;$N$5&amp;"）"</f>
        <v>（psi）</v>
      </c>
      <c r="J73" s="47"/>
      <c r="K73" s="46"/>
      <c r="L73" s="45"/>
      <c r="M73" s="44"/>
      <c r="N73" s="44"/>
    </row>
    <row r="74" spans="1:14" x14ac:dyDescent="0.15">
      <c r="A74" s="23">
        <v>0</v>
      </c>
      <c r="B74" s="23">
        <v>0</v>
      </c>
      <c r="C74" s="24">
        <v>0</v>
      </c>
      <c r="D74" s="25">
        <f>IF(ABS(B74-A74)&gt;ABS(C74-A74),B74-A74,C74-A74)</f>
        <v>0</v>
      </c>
      <c r="E74" s="53">
        <f>ABS(B74-C74)</f>
        <v>0</v>
      </c>
      <c r="F74" s="53"/>
      <c r="G74" s="10">
        <v>1.2999999999999999E-2</v>
      </c>
      <c r="I74" s="26">
        <f t="shared" ref="I74:I79" si="30">A74</f>
        <v>0</v>
      </c>
      <c r="J74" s="14">
        <f>ABS(D74)/($N$6-$L$6)</f>
        <v>0</v>
      </c>
      <c r="K74" s="48">
        <f>MAX(J74:J79)</f>
        <v>0</v>
      </c>
      <c r="L74" s="14">
        <f>ABS(E74)/($N$6-$L$6)</f>
        <v>0</v>
      </c>
      <c r="M74" s="48">
        <f>MAX(L74:L79)</f>
        <v>0</v>
      </c>
      <c r="N74" s="40"/>
    </row>
    <row r="75" spans="1:14" x14ac:dyDescent="0.15">
      <c r="A75" s="23">
        <v>0</v>
      </c>
      <c r="B75" s="23">
        <v>0</v>
      </c>
      <c r="C75" s="24">
        <v>0</v>
      </c>
      <c r="D75" s="25">
        <f t="shared" ref="D75:D79" si="31">IF(ABS(B75-A75)&gt;ABS(C75-A75),B75-A75,C75-A75)</f>
        <v>0</v>
      </c>
      <c r="E75" s="53">
        <f t="shared" ref="E75:E79" si="32">ABS(B75-C75)</f>
        <v>0</v>
      </c>
      <c r="F75" s="53"/>
      <c r="G75" s="10">
        <v>1.2999999999999999E-2</v>
      </c>
      <c r="I75" s="26">
        <f t="shared" si="30"/>
        <v>0</v>
      </c>
      <c r="J75" s="14">
        <f t="shared" ref="J75:J79" si="33">ABS(D75)/($N$6-$L$6)</f>
        <v>0</v>
      </c>
      <c r="K75" s="49"/>
      <c r="L75" s="14">
        <f t="shared" ref="L75:L79" si="34">ABS(E75)/($N$6-$L$6)</f>
        <v>0</v>
      </c>
      <c r="M75" s="49"/>
      <c r="N75" s="41"/>
    </row>
    <row r="76" spans="1:14" x14ac:dyDescent="0.15">
      <c r="A76" s="23">
        <v>0</v>
      </c>
      <c r="B76" s="23">
        <v>0</v>
      </c>
      <c r="C76" s="24">
        <v>0</v>
      </c>
      <c r="D76" s="25">
        <f t="shared" si="31"/>
        <v>0</v>
      </c>
      <c r="E76" s="53">
        <f t="shared" si="32"/>
        <v>0</v>
      </c>
      <c r="F76" s="53"/>
      <c r="G76" s="10">
        <v>1.2999999999999999E-2</v>
      </c>
      <c r="I76" s="26">
        <f t="shared" si="30"/>
        <v>0</v>
      </c>
      <c r="J76" s="14">
        <f t="shared" si="33"/>
        <v>0</v>
      </c>
      <c r="K76" s="49"/>
      <c r="L76" s="14">
        <f t="shared" si="34"/>
        <v>0</v>
      </c>
      <c r="M76" s="49"/>
      <c r="N76" s="41"/>
    </row>
    <row r="77" spans="1:14" x14ac:dyDescent="0.15">
      <c r="A77" s="23">
        <v>0</v>
      </c>
      <c r="B77" s="23">
        <v>0</v>
      </c>
      <c r="C77" s="24">
        <v>0</v>
      </c>
      <c r="D77" s="25">
        <f t="shared" si="31"/>
        <v>0</v>
      </c>
      <c r="E77" s="53">
        <f t="shared" si="32"/>
        <v>0</v>
      </c>
      <c r="F77" s="53"/>
      <c r="G77" s="10">
        <v>1.2999999999999999E-2</v>
      </c>
      <c r="I77" s="26">
        <f t="shared" si="30"/>
        <v>0</v>
      </c>
      <c r="J77" s="14">
        <f t="shared" si="33"/>
        <v>0</v>
      </c>
      <c r="K77" s="49"/>
      <c r="L77" s="14">
        <f t="shared" si="34"/>
        <v>0</v>
      </c>
      <c r="M77" s="49"/>
      <c r="N77" s="41"/>
    </row>
    <row r="78" spans="1:14" x14ac:dyDescent="0.15">
      <c r="A78" s="23">
        <v>0</v>
      </c>
      <c r="B78" s="23">
        <v>0</v>
      </c>
      <c r="C78" s="24">
        <v>0</v>
      </c>
      <c r="D78" s="25">
        <f t="shared" si="31"/>
        <v>0</v>
      </c>
      <c r="E78" s="53">
        <f t="shared" si="32"/>
        <v>0</v>
      </c>
      <c r="F78" s="53"/>
      <c r="G78" s="10">
        <v>1.2999999999999999E-2</v>
      </c>
      <c r="I78" s="26">
        <f t="shared" si="30"/>
        <v>0</v>
      </c>
      <c r="J78" s="14">
        <f t="shared" si="33"/>
        <v>0</v>
      </c>
      <c r="K78" s="49"/>
      <c r="L78" s="14">
        <f t="shared" si="34"/>
        <v>0</v>
      </c>
      <c r="M78" s="49"/>
      <c r="N78" s="41"/>
    </row>
    <row r="79" spans="1:14" x14ac:dyDescent="0.15">
      <c r="A79" s="23">
        <v>0</v>
      </c>
      <c r="B79" s="23">
        <v>0</v>
      </c>
      <c r="C79" s="24">
        <v>0</v>
      </c>
      <c r="D79" s="25">
        <f t="shared" si="31"/>
        <v>0</v>
      </c>
      <c r="E79" s="53">
        <f t="shared" si="32"/>
        <v>0</v>
      </c>
      <c r="F79" s="53"/>
      <c r="G79" s="10">
        <v>1.2999999999999999E-2</v>
      </c>
      <c r="I79" s="26">
        <f t="shared" si="30"/>
        <v>0</v>
      </c>
      <c r="J79" s="14">
        <f t="shared" si="33"/>
        <v>0</v>
      </c>
      <c r="K79" s="50"/>
      <c r="L79" s="14">
        <f t="shared" si="34"/>
        <v>0</v>
      </c>
      <c r="M79" s="50"/>
      <c r="N79" s="42"/>
    </row>
    <row r="80" spans="1:14" x14ac:dyDescent="0.15">
      <c r="A80" s="28"/>
      <c r="B80" s="28"/>
      <c r="C80" s="29"/>
      <c r="D80" s="30"/>
      <c r="E80" s="30"/>
      <c r="F80" s="30"/>
      <c r="G80" s="31"/>
      <c r="I80" s="32"/>
      <c r="J80" s="32"/>
      <c r="K80" s="32"/>
      <c r="L80" s="32"/>
      <c r="M80" s="32"/>
      <c r="N80" s="34"/>
    </row>
    <row r="81" spans="1:14" x14ac:dyDescent="0.15">
      <c r="A81" s="11" t="s">
        <v>38</v>
      </c>
      <c r="B81" s="5" t="s">
        <v>11</v>
      </c>
      <c r="C81" s="11"/>
      <c r="D81" s="12" t="s">
        <v>36</v>
      </c>
      <c r="E81" s="56" t="str">
        <f>$N$5</f>
        <v>psi</v>
      </c>
      <c r="F81" s="56"/>
      <c r="G81" s="4"/>
      <c r="I81" s="18" t="s">
        <v>38</v>
      </c>
      <c r="J81" s="13" t="str">
        <f>B81</f>
        <v>CH8</v>
      </c>
      <c r="K81" s="6"/>
      <c r="L81" s="12"/>
      <c r="M81" s="5"/>
      <c r="N81" s="13"/>
    </row>
    <row r="82" spans="1:14" ht="15" customHeight="1" x14ac:dyDescent="0.15">
      <c r="A82" s="57" t="s">
        <v>40</v>
      </c>
      <c r="B82" s="57" t="s">
        <v>31</v>
      </c>
      <c r="C82" s="59"/>
      <c r="D82" s="60" t="s">
        <v>34</v>
      </c>
      <c r="E82" s="62" t="s">
        <v>35</v>
      </c>
      <c r="F82" s="63"/>
      <c r="G82" s="54" t="s">
        <v>3</v>
      </c>
      <c r="I82" s="36" t="s">
        <v>40</v>
      </c>
      <c r="J82" s="47" t="s">
        <v>45</v>
      </c>
      <c r="K82" s="46" t="s">
        <v>22</v>
      </c>
      <c r="L82" s="45" t="s">
        <v>46</v>
      </c>
      <c r="M82" s="44" t="s">
        <v>22</v>
      </c>
      <c r="N82" s="43" t="s">
        <v>25</v>
      </c>
    </row>
    <row r="83" spans="1:14" x14ac:dyDescent="0.15">
      <c r="A83" s="58"/>
      <c r="B83" s="8" t="s">
        <v>32</v>
      </c>
      <c r="C83" s="9" t="s">
        <v>33</v>
      </c>
      <c r="D83" s="61"/>
      <c r="E83" s="64"/>
      <c r="F83" s="65"/>
      <c r="G83" s="55"/>
      <c r="I83" s="37" t="str">
        <f>"（"&amp;$N$5&amp;"）"</f>
        <v>（psi）</v>
      </c>
      <c r="J83" s="47"/>
      <c r="K83" s="46"/>
      <c r="L83" s="45"/>
      <c r="M83" s="44"/>
      <c r="N83" s="44"/>
    </row>
    <row r="84" spans="1:14" x14ac:dyDescent="0.15">
      <c r="A84" s="23">
        <v>0</v>
      </c>
      <c r="B84" s="23">
        <v>0</v>
      </c>
      <c r="C84" s="24">
        <v>0</v>
      </c>
      <c r="D84" s="25">
        <f>IF(ABS(B84-A84)&gt;ABS(C84-A84),B84-A84,C84-A84)</f>
        <v>0</v>
      </c>
      <c r="E84" s="53">
        <f>ABS(B84-C84)</f>
        <v>0</v>
      </c>
      <c r="F84" s="53"/>
      <c r="G84" s="10">
        <v>1.2999999999999999E-2</v>
      </c>
      <c r="I84" s="26">
        <f t="shared" ref="I84:I89" si="35">A84</f>
        <v>0</v>
      </c>
      <c r="J84" s="14">
        <f>ABS(D84)/($N$6-$L$6)</f>
        <v>0</v>
      </c>
      <c r="K84" s="48">
        <f>MAX(J84:J89)</f>
        <v>0</v>
      </c>
      <c r="L84" s="14">
        <f>ABS(E84)/($N$6-$L$6)</f>
        <v>0</v>
      </c>
      <c r="M84" s="48">
        <f>MAX(L84:L89)</f>
        <v>0</v>
      </c>
      <c r="N84" s="40"/>
    </row>
    <row r="85" spans="1:14" x14ac:dyDescent="0.15">
      <c r="A85" s="23">
        <v>0</v>
      </c>
      <c r="B85" s="23">
        <v>0</v>
      </c>
      <c r="C85" s="24">
        <v>0</v>
      </c>
      <c r="D85" s="25">
        <f t="shared" ref="D85:D89" si="36">IF(ABS(B85-A85)&gt;ABS(C85-A85),B85-A85,C85-A85)</f>
        <v>0</v>
      </c>
      <c r="E85" s="53">
        <f t="shared" ref="E85:E89" si="37">ABS(B85-C85)</f>
        <v>0</v>
      </c>
      <c r="F85" s="53"/>
      <c r="G85" s="10">
        <v>1.2999999999999999E-2</v>
      </c>
      <c r="I85" s="26">
        <f t="shared" si="35"/>
        <v>0</v>
      </c>
      <c r="J85" s="14">
        <f t="shared" ref="J85:J89" si="38">ABS(D85)/($N$6-$L$6)</f>
        <v>0</v>
      </c>
      <c r="K85" s="49"/>
      <c r="L85" s="14">
        <f t="shared" ref="L85:L89" si="39">ABS(E85)/($N$6-$L$6)</f>
        <v>0</v>
      </c>
      <c r="M85" s="49"/>
      <c r="N85" s="41"/>
    </row>
    <row r="86" spans="1:14" x14ac:dyDescent="0.15">
      <c r="A86" s="23">
        <v>0</v>
      </c>
      <c r="B86" s="23">
        <v>0</v>
      </c>
      <c r="C86" s="24">
        <v>0</v>
      </c>
      <c r="D86" s="25">
        <f t="shared" si="36"/>
        <v>0</v>
      </c>
      <c r="E86" s="53">
        <f t="shared" si="37"/>
        <v>0</v>
      </c>
      <c r="F86" s="53"/>
      <c r="G86" s="10">
        <v>1.2999999999999999E-2</v>
      </c>
      <c r="I86" s="26">
        <f t="shared" si="35"/>
        <v>0</v>
      </c>
      <c r="J86" s="14">
        <f t="shared" si="38"/>
        <v>0</v>
      </c>
      <c r="K86" s="49"/>
      <c r="L86" s="14">
        <f t="shared" si="39"/>
        <v>0</v>
      </c>
      <c r="M86" s="49"/>
      <c r="N86" s="41"/>
    </row>
    <row r="87" spans="1:14" x14ac:dyDescent="0.15">
      <c r="A87" s="23">
        <v>0</v>
      </c>
      <c r="B87" s="23">
        <v>0</v>
      </c>
      <c r="C87" s="24">
        <v>0</v>
      </c>
      <c r="D87" s="25">
        <f t="shared" si="36"/>
        <v>0</v>
      </c>
      <c r="E87" s="53">
        <f t="shared" si="37"/>
        <v>0</v>
      </c>
      <c r="F87" s="53"/>
      <c r="G87" s="10">
        <v>1.2999999999999999E-2</v>
      </c>
      <c r="I87" s="26">
        <f t="shared" si="35"/>
        <v>0</v>
      </c>
      <c r="J87" s="14">
        <f t="shared" si="38"/>
        <v>0</v>
      </c>
      <c r="K87" s="49"/>
      <c r="L87" s="14">
        <f t="shared" si="39"/>
        <v>0</v>
      </c>
      <c r="M87" s="49"/>
      <c r="N87" s="41"/>
    </row>
    <row r="88" spans="1:14" x14ac:dyDescent="0.15">
      <c r="A88" s="23">
        <v>0</v>
      </c>
      <c r="B88" s="23">
        <v>0</v>
      </c>
      <c r="C88" s="24">
        <v>0</v>
      </c>
      <c r="D88" s="25">
        <f t="shared" si="36"/>
        <v>0</v>
      </c>
      <c r="E88" s="53">
        <f t="shared" si="37"/>
        <v>0</v>
      </c>
      <c r="F88" s="53"/>
      <c r="G88" s="10">
        <v>1.2999999999999999E-2</v>
      </c>
      <c r="I88" s="26">
        <f t="shared" si="35"/>
        <v>0</v>
      </c>
      <c r="J88" s="14">
        <f t="shared" si="38"/>
        <v>0</v>
      </c>
      <c r="K88" s="49"/>
      <c r="L88" s="14">
        <f t="shared" si="39"/>
        <v>0</v>
      </c>
      <c r="M88" s="49"/>
      <c r="N88" s="41"/>
    </row>
    <row r="89" spans="1:14" x14ac:dyDescent="0.15">
      <c r="A89" s="23">
        <v>0</v>
      </c>
      <c r="B89" s="23">
        <v>0</v>
      </c>
      <c r="C89" s="24">
        <v>0</v>
      </c>
      <c r="D89" s="25">
        <f t="shared" si="36"/>
        <v>0</v>
      </c>
      <c r="E89" s="53">
        <f t="shared" si="37"/>
        <v>0</v>
      </c>
      <c r="F89" s="53"/>
      <c r="G89" s="10">
        <v>1.2999999999999999E-2</v>
      </c>
      <c r="I89" s="26">
        <f t="shared" si="35"/>
        <v>0</v>
      </c>
      <c r="J89" s="14">
        <f t="shared" si="38"/>
        <v>0</v>
      </c>
      <c r="K89" s="50"/>
      <c r="L89" s="14">
        <f t="shared" si="39"/>
        <v>0</v>
      </c>
      <c r="M89" s="50"/>
      <c r="N89" s="42"/>
    </row>
    <row r="90" spans="1:14" x14ac:dyDescent="0.15">
      <c r="A90" s="28"/>
      <c r="B90" s="28"/>
      <c r="C90" s="29"/>
      <c r="D90" s="30"/>
      <c r="E90" s="30"/>
      <c r="F90" s="30"/>
      <c r="G90" s="31"/>
      <c r="I90" s="32"/>
      <c r="J90" s="33"/>
      <c r="K90" s="33"/>
      <c r="L90" s="33"/>
      <c r="M90" s="33"/>
      <c r="N90" s="34"/>
    </row>
    <row r="91" spans="1:14" x14ac:dyDescent="0.15">
      <c r="A91" s="28"/>
      <c r="B91" s="28"/>
      <c r="C91" s="29"/>
      <c r="D91" s="30"/>
      <c r="E91" s="30"/>
      <c r="F91" s="30"/>
      <c r="G91" s="31"/>
      <c r="I91" s="32"/>
      <c r="J91" s="33"/>
      <c r="K91" s="33"/>
      <c r="L91" s="33"/>
      <c r="M91" s="33"/>
      <c r="N91" s="34"/>
    </row>
    <row r="92" spans="1:14" x14ac:dyDescent="0.15">
      <c r="A92" s="28"/>
      <c r="B92" s="28"/>
      <c r="C92" s="29"/>
      <c r="D92" s="30"/>
      <c r="E92" s="30"/>
      <c r="F92" s="30"/>
      <c r="G92" s="31"/>
      <c r="I92" s="32"/>
      <c r="J92" s="33"/>
      <c r="K92" s="33"/>
      <c r="L92" s="33"/>
      <c r="M92" s="33"/>
      <c r="N92" s="34"/>
    </row>
    <row r="93" spans="1:14" x14ac:dyDescent="0.15">
      <c r="A93" s="28"/>
      <c r="B93" s="28"/>
      <c r="C93" s="29"/>
      <c r="D93" s="30"/>
      <c r="E93" s="30"/>
      <c r="F93" s="30"/>
      <c r="G93" s="31"/>
      <c r="I93" s="32"/>
      <c r="J93" s="33"/>
      <c r="K93" s="33"/>
      <c r="L93" s="33"/>
      <c r="M93" s="33"/>
      <c r="N93" s="34"/>
    </row>
    <row r="95" spans="1:14" x14ac:dyDescent="0.15">
      <c r="A95" s="11" t="s">
        <v>38</v>
      </c>
      <c r="B95" s="5" t="s">
        <v>12</v>
      </c>
      <c r="C95" s="11"/>
      <c r="D95" s="12" t="s">
        <v>36</v>
      </c>
      <c r="E95" s="56" t="str">
        <f>$N$5</f>
        <v>psi</v>
      </c>
      <c r="F95" s="56"/>
      <c r="G95" s="4"/>
      <c r="I95" s="18" t="s">
        <v>38</v>
      </c>
      <c r="J95" s="13" t="str">
        <f>B95</f>
        <v>CH9</v>
      </c>
      <c r="K95" s="6"/>
      <c r="L95" s="12"/>
      <c r="M95" s="5"/>
      <c r="N95" s="13"/>
    </row>
    <row r="96" spans="1:14" ht="15" customHeight="1" x14ac:dyDescent="0.15">
      <c r="A96" s="57" t="s">
        <v>40</v>
      </c>
      <c r="B96" s="57" t="s">
        <v>31</v>
      </c>
      <c r="C96" s="59"/>
      <c r="D96" s="60" t="s">
        <v>34</v>
      </c>
      <c r="E96" s="62" t="s">
        <v>35</v>
      </c>
      <c r="F96" s="63"/>
      <c r="G96" s="54" t="s">
        <v>3</v>
      </c>
      <c r="I96" s="36" t="s">
        <v>40</v>
      </c>
      <c r="J96" s="47" t="s">
        <v>45</v>
      </c>
      <c r="K96" s="46" t="s">
        <v>22</v>
      </c>
      <c r="L96" s="45" t="s">
        <v>46</v>
      </c>
      <c r="M96" s="44" t="s">
        <v>22</v>
      </c>
      <c r="N96" s="43" t="s">
        <v>25</v>
      </c>
    </row>
    <row r="97" spans="1:14" x14ac:dyDescent="0.15">
      <c r="A97" s="58"/>
      <c r="B97" s="8" t="s">
        <v>32</v>
      </c>
      <c r="C97" s="9" t="s">
        <v>33</v>
      </c>
      <c r="D97" s="61"/>
      <c r="E97" s="64"/>
      <c r="F97" s="65"/>
      <c r="G97" s="55"/>
      <c r="I97" s="37" t="str">
        <f>"（"&amp;$N$5&amp;"）"</f>
        <v>（psi）</v>
      </c>
      <c r="J97" s="47"/>
      <c r="K97" s="46"/>
      <c r="L97" s="45"/>
      <c r="M97" s="44"/>
      <c r="N97" s="44"/>
    </row>
    <row r="98" spans="1:14" x14ac:dyDescent="0.15">
      <c r="A98" s="23">
        <v>0</v>
      </c>
      <c r="B98" s="23">
        <v>0</v>
      </c>
      <c r="C98" s="24">
        <v>0</v>
      </c>
      <c r="D98" s="25">
        <f>IF(ABS(B98-A98)&gt;ABS(C98-A98),B98-A98,C98-A98)</f>
        <v>0</v>
      </c>
      <c r="E98" s="53">
        <f>ABS(B98-C98)</f>
        <v>0</v>
      </c>
      <c r="F98" s="53"/>
      <c r="G98" s="10">
        <v>1.2999999999999999E-2</v>
      </c>
      <c r="I98" s="26">
        <f t="shared" ref="I98:I103" si="40">A98</f>
        <v>0</v>
      </c>
      <c r="J98" s="14">
        <f>ABS(D98)/($N$6-$L$6)</f>
        <v>0</v>
      </c>
      <c r="K98" s="48">
        <f>MAX(J98:J103)</f>
        <v>0</v>
      </c>
      <c r="L98" s="14">
        <f>ABS(E98)/($N$6-$L$6)</f>
        <v>0</v>
      </c>
      <c r="M98" s="48">
        <f>MAX(L98:L103)</f>
        <v>0</v>
      </c>
      <c r="N98" s="40"/>
    </row>
    <row r="99" spans="1:14" x14ac:dyDescent="0.15">
      <c r="A99" s="23">
        <v>0</v>
      </c>
      <c r="B99" s="23">
        <v>0</v>
      </c>
      <c r="C99" s="24">
        <v>0</v>
      </c>
      <c r="D99" s="25">
        <f t="shared" ref="D99:D103" si="41">IF(ABS(B99-A99)&gt;ABS(C99-A99),B99-A99,C99-A99)</f>
        <v>0</v>
      </c>
      <c r="E99" s="53">
        <f t="shared" ref="E99:E103" si="42">ABS(B99-C99)</f>
        <v>0</v>
      </c>
      <c r="F99" s="53"/>
      <c r="G99" s="10">
        <v>1.2999999999999999E-2</v>
      </c>
      <c r="I99" s="26">
        <f t="shared" si="40"/>
        <v>0</v>
      </c>
      <c r="J99" s="14">
        <f t="shared" ref="J99:J103" si="43">ABS(D99)/($N$6-$L$6)</f>
        <v>0</v>
      </c>
      <c r="K99" s="49"/>
      <c r="L99" s="14">
        <f t="shared" ref="L99:L103" si="44">ABS(E99)/($N$6-$L$6)</f>
        <v>0</v>
      </c>
      <c r="M99" s="49"/>
      <c r="N99" s="41"/>
    </row>
    <row r="100" spans="1:14" x14ac:dyDescent="0.15">
      <c r="A100" s="23">
        <v>0</v>
      </c>
      <c r="B100" s="23">
        <v>0</v>
      </c>
      <c r="C100" s="24">
        <v>0</v>
      </c>
      <c r="D100" s="25">
        <f t="shared" si="41"/>
        <v>0</v>
      </c>
      <c r="E100" s="53">
        <f t="shared" si="42"/>
        <v>0</v>
      </c>
      <c r="F100" s="53"/>
      <c r="G100" s="10">
        <v>1.2999999999999999E-2</v>
      </c>
      <c r="I100" s="26">
        <f t="shared" si="40"/>
        <v>0</v>
      </c>
      <c r="J100" s="14">
        <f t="shared" si="43"/>
        <v>0</v>
      </c>
      <c r="K100" s="49"/>
      <c r="L100" s="14">
        <f t="shared" si="44"/>
        <v>0</v>
      </c>
      <c r="M100" s="49"/>
      <c r="N100" s="41"/>
    </row>
    <row r="101" spans="1:14" x14ac:dyDescent="0.15">
      <c r="A101" s="23">
        <v>0</v>
      </c>
      <c r="B101" s="23">
        <v>0</v>
      </c>
      <c r="C101" s="24">
        <v>0</v>
      </c>
      <c r="D101" s="25">
        <f t="shared" si="41"/>
        <v>0</v>
      </c>
      <c r="E101" s="53">
        <f t="shared" si="42"/>
        <v>0</v>
      </c>
      <c r="F101" s="53"/>
      <c r="G101" s="10">
        <v>1.2999999999999999E-2</v>
      </c>
      <c r="I101" s="26">
        <f t="shared" si="40"/>
        <v>0</v>
      </c>
      <c r="J101" s="14">
        <f t="shared" si="43"/>
        <v>0</v>
      </c>
      <c r="K101" s="49"/>
      <c r="L101" s="14">
        <f t="shared" si="44"/>
        <v>0</v>
      </c>
      <c r="M101" s="49"/>
      <c r="N101" s="41"/>
    </row>
    <row r="102" spans="1:14" x14ac:dyDescent="0.15">
      <c r="A102" s="23">
        <v>0</v>
      </c>
      <c r="B102" s="23">
        <v>0</v>
      </c>
      <c r="C102" s="24">
        <v>0</v>
      </c>
      <c r="D102" s="25">
        <f t="shared" si="41"/>
        <v>0</v>
      </c>
      <c r="E102" s="53">
        <f t="shared" si="42"/>
        <v>0</v>
      </c>
      <c r="F102" s="53"/>
      <c r="G102" s="10">
        <v>1.2999999999999999E-2</v>
      </c>
      <c r="I102" s="26">
        <f t="shared" si="40"/>
        <v>0</v>
      </c>
      <c r="J102" s="14">
        <f t="shared" si="43"/>
        <v>0</v>
      </c>
      <c r="K102" s="49"/>
      <c r="L102" s="14">
        <f t="shared" si="44"/>
        <v>0</v>
      </c>
      <c r="M102" s="49"/>
      <c r="N102" s="41"/>
    </row>
    <row r="103" spans="1:14" x14ac:dyDescent="0.15">
      <c r="A103" s="23">
        <v>0</v>
      </c>
      <c r="B103" s="23">
        <v>0</v>
      </c>
      <c r="C103" s="24">
        <v>0</v>
      </c>
      <c r="D103" s="25">
        <f t="shared" si="41"/>
        <v>0</v>
      </c>
      <c r="E103" s="53">
        <f t="shared" si="42"/>
        <v>0</v>
      </c>
      <c r="F103" s="53"/>
      <c r="G103" s="10">
        <v>1.2999999999999999E-2</v>
      </c>
      <c r="I103" s="26">
        <f t="shared" si="40"/>
        <v>0</v>
      </c>
      <c r="J103" s="14">
        <f t="shared" si="43"/>
        <v>0</v>
      </c>
      <c r="K103" s="50"/>
      <c r="L103" s="14">
        <f t="shared" si="44"/>
        <v>0</v>
      </c>
      <c r="M103" s="50"/>
      <c r="N103" s="42"/>
    </row>
    <row r="104" spans="1:14" x14ac:dyDescent="0.15">
      <c r="A104" s="28"/>
      <c r="B104" s="28"/>
      <c r="C104" s="29"/>
      <c r="D104" s="30"/>
      <c r="E104" s="30"/>
      <c r="F104" s="30"/>
      <c r="G104" s="31"/>
      <c r="I104" s="32"/>
      <c r="J104" s="32"/>
      <c r="K104" s="32"/>
      <c r="L104" s="32"/>
      <c r="M104" s="32"/>
      <c r="N104" s="34"/>
    </row>
    <row r="105" spans="1:14" x14ac:dyDescent="0.15">
      <c r="A105" s="11" t="s">
        <v>38</v>
      </c>
      <c r="B105" s="5" t="s">
        <v>13</v>
      </c>
      <c r="C105" s="11"/>
      <c r="D105" s="12" t="s">
        <v>36</v>
      </c>
      <c r="E105" s="56" t="str">
        <f>$N$5</f>
        <v>psi</v>
      </c>
      <c r="F105" s="56"/>
      <c r="G105" s="4"/>
      <c r="I105" s="18" t="s">
        <v>38</v>
      </c>
      <c r="J105" s="13" t="str">
        <f>B105</f>
        <v>CH10</v>
      </c>
      <c r="K105" s="6"/>
      <c r="L105" s="12"/>
      <c r="M105" s="5"/>
      <c r="N105" s="13"/>
    </row>
    <row r="106" spans="1:14" ht="15" customHeight="1" x14ac:dyDescent="0.15">
      <c r="A106" s="57" t="s">
        <v>40</v>
      </c>
      <c r="B106" s="57" t="s">
        <v>31</v>
      </c>
      <c r="C106" s="59"/>
      <c r="D106" s="60" t="s">
        <v>34</v>
      </c>
      <c r="E106" s="62" t="s">
        <v>35</v>
      </c>
      <c r="F106" s="63"/>
      <c r="G106" s="54" t="s">
        <v>3</v>
      </c>
      <c r="I106" s="36" t="s">
        <v>40</v>
      </c>
      <c r="J106" s="47" t="s">
        <v>45</v>
      </c>
      <c r="K106" s="46" t="s">
        <v>22</v>
      </c>
      <c r="L106" s="45" t="s">
        <v>46</v>
      </c>
      <c r="M106" s="44" t="s">
        <v>22</v>
      </c>
      <c r="N106" s="43" t="s">
        <v>25</v>
      </c>
    </row>
    <row r="107" spans="1:14" x14ac:dyDescent="0.15">
      <c r="A107" s="58"/>
      <c r="B107" s="8" t="s">
        <v>32</v>
      </c>
      <c r="C107" s="9" t="s">
        <v>33</v>
      </c>
      <c r="D107" s="61"/>
      <c r="E107" s="64"/>
      <c r="F107" s="65"/>
      <c r="G107" s="55"/>
      <c r="I107" s="37" t="str">
        <f>"（"&amp;$N$5&amp;"）"</f>
        <v>（psi）</v>
      </c>
      <c r="J107" s="47"/>
      <c r="K107" s="46"/>
      <c r="L107" s="45"/>
      <c r="M107" s="44"/>
      <c r="N107" s="44"/>
    </row>
    <row r="108" spans="1:14" x14ac:dyDescent="0.15">
      <c r="A108" s="23">
        <v>0</v>
      </c>
      <c r="B108" s="23">
        <v>0</v>
      </c>
      <c r="C108" s="24">
        <v>0</v>
      </c>
      <c r="D108" s="25">
        <f>IF(ABS(B108-A108)&gt;ABS(C108-A108),B108-A108,C108-A108)</f>
        <v>0</v>
      </c>
      <c r="E108" s="53">
        <f>ABS(B108-C108)</f>
        <v>0</v>
      </c>
      <c r="F108" s="53"/>
      <c r="G108" s="10">
        <v>1.2999999999999999E-2</v>
      </c>
      <c r="I108" s="26">
        <f t="shared" ref="I108:I113" si="45">A108</f>
        <v>0</v>
      </c>
      <c r="J108" s="14">
        <f>ABS(D108)/($N$6-$L$6)</f>
        <v>0</v>
      </c>
      <c r="K108" s="48">
        <f>MAX(J108:J113)</f>
        <v>0</v>
      </c>
      <c r="L108" s="14">
        <f>ABS(E108)/($N$6-$L$6)</f>
        <v>0</v>
      </c>
      <c r="M108" s="48">
        <f>MAX(L108:L113)</f>
        <v>0</v>
      </c>
      <c r="N108" s="40"/>
    </row>
    <row r="109" spans="1:14" x14ac:dyDescent="0.15">
      <c r="A109" s="23">
        <v>0</v>
      </c>
      <c r="B109" s="23">
        <v>0</v>
      </c>
      <c r="C109" s="24">
        <v>0</v>
      </c>
      <c r="D109" s="25">
        <f t="shared" ref="D109:D113" si="46">IF(ABS(B109-A109)&gt;ABS(C109-A109),B109-A109,C109-A109)</f>
        <v>0</v>
      </c>
      <c r="E109" s="53">
        <f t="shared" ref="E109:E113" si="47">ABS(B109-C109)</f>
        <v>0</v>
      </c>
      <c r="F109" s="53"/>
      <c r="G109" s="10">
        <v>1.2999999999999999E-2</v>
      </c>
      <c r="I109" s="26">
        <f t="shared" si="45"/>
        <v>0</v>
      </c>
      <c r="J109" s="14">
        <f t="shared" ref="J109:J113" si="48">ABS(D109)/($N$6-$L$6)</f>
        <v>0</v>
      </c>
      <c r="K109" s="49"/>
      <c r="L109" s="14">
        <f t="shared" ref="L109:L113" si="49">ABS(E109)/($N$6-$L$6)</f>
        <v>0</v>
      </c>
      <c r="M109" s="49"/>
      <c r="N109" s="41"/>
    </row>
    <row r="110" spans="1:14" x14ac:dyDescent="0.15">
      <c r="A110" s="23">
        <v>0</v>
      </c>
      <c r="B110" s="23">
        <v>0</v>
      </c>
      <c r="C110" s="24">
        <v>0</v>
      </c>
      <c r="D110" s="25">
        <f t="shared" si="46"/>
        <v>0</v>
      </c>
      <c r="E110" s="53">
        <f t="shared" si="47"/>
        <v>0</v>
      </c>
      <c r="F110" s="53"/>
      <c r="G110" s="10">
        <v>1.2999999999999999E-2</v>
      </c>
      <c r="I110" s="26">
        <f t="shared" si="45"/>
        <v>0</v>
      </c>
      <c r="J110" s="14">
        <f t="shared" si="48"/>
        <v>0</v>
      </c>
      <c r="K110" s="49"/>
      <c r="L110" s="14">
        <f t="shared" si="49"/>
        <v>0</v>
      </c>
      <c r="M110" s="49"/>
      <c r="N110" s="41"/>
    </row>
    <row r="111" spans="1:14" x14ac:dyDescent="0.15">
      <c r="A111" s="23">
        <v>0</v>
      </c>
      <c r="B111" s="23">
        <v>0</v>
      </c>
      <c r="C111" s="24">
        <v>0</v>
      </c>
      <c r="D111" s="25">
        <f t="shared" si="46"/>
        <v>0</v>
      </c>
      <c r="E111" s="53">
        <f t="shared" si="47"/>
        <v>0</v>
      </c>
      <c r="F111" s="53"/>
      <c r="G111" s="10">
        <v>1.2999999999999999E-2</v>
      </c>
      <c r="I111" s="26">
        <f t="shared" si="45"/>
        <v>0</v>
      </c>
      <c r="J111" s="14">
        <f t="shared" si="48"/>
        <v>0</v>
      </c>
      <c r="K111" s="49"/>
      <c r="L111" s="14">
        <f t="shared" si="49"/>
        <v>0</v>
      </c>
      <c r="M111" s="49"/>
      <c r="N111" s="41"/>
    </row>
    <row r="112" spans="1:14" x14ac:dyDescent="0.15">
      <c r="A112" s="23">
        <v>0</v>
      </c>
      <c r="B112" s="23">
        <v>0</v>
      </c>
      <c r="C112" s="24">
        <v>0</v>
      </c>
      <c r="D112" s="25">
        <f t="shared" si="46"/>
        <v>0</v>
      </c>
      <c r="E112" s="53">
        <f t="shared" si="47"/>
        <v>0</v>
      </c>
      <c r="F112" s="53"/>
      <c r="G112" s="10">
        <v>1.2999999999999999E-2</v>
      </c>
      <c r="I112" s="26">
        <f t="shared" si="45"/>
        <v>0</v>
      </c>
      <c r="J112" s="14">
        <f t="shared" si="48"/>
        <v>0</v>
      </c>
      <c r="K112" s="49"/>
      <c r="L112" s="14">
        <f t="shared" si="49"/>
        <v>0</v>
      </c>
      <c r="M112" s="49"/>
      <c r="N112" s="41"/>
    </row>
    <row r="113" spans="1:14" x14ac:dyDescent="0.15">
      <c r="A113" s="23">
        <v>0</v>
      </c>
      <c r="B113" s="23">
        <v>0</v>
      </c>
      <c r="C113" s="24">
        <v>0</v>
      </c>
      <c r="D113" s="25">
        <f t="shared" si="46"/>
        <v>0</v>
      </c>
      <c r="E113" s="53">
        <f t="shared" si="47"/>
        <v>0</v>
      </c>
      <c r="F113" s="53"/>
      <c r="G113" s="10">
        <v>1.2999999999999999E-2</v>
      </c>
      <c r="I113" s="26">
        <f t="shared" si="45"/>
        <v>0</v>
      </c>
      <c r="J113" s="14">
        <f t="shared" si="48"/>
        <v>0</v>
      </c>
      <c r="K113" s="50"/>
      <c r="L113" s="14">
        <f t="shared" si="49"/>
        <v>0</v>
      </c>
      <c r="M113" s="50"/>
      <c r="N113" s="42"/>
    </row>
    <row r="114" spans="1:14" x14ac:dyDescent="0.15">
      <c r="A114" s="28"/>
      <c r="B114" s="28"/>
      <c r="C114" s="29"/>
      <c r="D114" s="30"/>
      <c r="E114" s="30"/>
      <c r="F114" s="30"/>
      <c r="G114" s="31"/>
      <c r="I114" s="32"/>
      <c r="J114" s="32"/>
      <c r="K114" s="32"/>
      <c r="L114" s="32"/>
      <c r="M114" s="33"/>
      <c r="N114" s="34"/>
    </row>
    <row r="115" spans="1:14" x14ac:dyDescent="0.15">
      <c r="A115" s="11" t="s">
        <v>38</v>
      </c>
      <c r="B115" s="5" t="s">
        <v>14</v>
      </c>
      <c r="C115" s="11"/>
      <c r="D115" s="12" t="s">
        <v>36</v>
      </c>
      <c r="E115" s="56" t="str">
        <f>$N$5</f>
        <v>psi</v>
      </c>
      <c r="F115" s="56"/>
      <c r="G115" s="4"/>
      <c r="I115" s="18" t="s">
        <v>38</v>
      </c>
      <c r="J115" s="13" t="str">
        <f>B115</f>
        <v>CH11</v>
      </c>
      <c r="K115" s="6"/>
      <c r="L115" s="12"/>
      <c r="M115" s="5"/>
      <c r="N115" s="13"/>
    </row>
    <row r="116" spans="1:14" ht="15" customHeight="1" x14ac:dyDescent="0.15">
      <c r="A116" s="57" t="s">
        <v>40</v>
      </c>
      <c r="B116" s="57" t="s">
        <v>31</v>
      </c>
      <c r="C116" s="59"/>
      <c r="D116" s="60" t="s">
        <v>34</v>
      </c>
      <c r="E116" s="62" t="s">
        <v>35</v>
      </c>
      <c r="F116" s="63"/>
      <c r="G116" s="54" t="s">
        <v>3</v>
      </c>
      <c r="I116" s="36" t="s">
        <v>40</v>
      </c>
      <c r="J116" s="47" t="s">
        <v>45</v>
      </c>
      <c r="K116" s="46" t="s">
        <v>22</v>
      </c>
      <c r="L116" s="45" t="s">
        <v>46</v>
      </c>
      <c r="M116" s="44" t="s">
        <v>22</v>
      </c>
      <c r="N116" s="43" t="s">
        <v>25</v>
      </c>
    </row>
    <row r="117" spans="1:14" x14ac:dyDescent="0.15">
      <c r="A117" s="58"/>
      <c r="B117" s="8" t="s">
        <v>32</v>
      </c>
      <c r="C117" s="9" t="s">
        <v>33</v>
      </c>
      <c r="D117" s="61"/>
      <c r="E117" s="64"/>
      <c r="F117" s="65"/>
      <c r="G117" s="55"/>
      <c r="I117" s="37" t="str">
        <f>"（"&amp;$N$5&amp;"）"</f>
        <v>（psi）</v>
      </c>
      <c r="J117" s="47"/>
      <c r="K117" s="46"/>
      <c r="L117" s="45"/>
      <c r="M117" s="44"/>
      <c r="N117" s="44"/>
    </row>
    <row r="118" spans="1:14" x14ac:dyDescent="0.15">
      <c r="A118" s="23">
        <v>0</v>
      </c>
      <c r="B118" s="23">
        <v>0</v>
      </c>
      <c r="C118" s="24">
        <v>0</v>
      </c>
      <c r="D118" s="25">
        <f>IF(ABS(B118-A118)&gt;ABS(C118-A118),B118-A118,C118-A118)</f>
        <v>0</v>
      </c>
      <c r="E118" s="53">
        <f>ABS(B118-C118)</f>
        <v>0</v>
      </c>
      <c r="F118" s="53"/>
      <c r="G118" s="10">
        <v>1.2999999999999999E-2</v>
      </c>
      <c r="I118" s="26">
        <f t="shared" ref="I118:I123" si="50">A118</f>
        <v>0</v>
      </c>
      <c r="J118" s="14">
        <f>ABS(D118)/($N$6-$L$6)</f>
        <v>0</v>
      </c>
      <c r="K118" s="48">
        <f>MAX(J118:J123)</f>
        <v>0</v>
      </c>
      <c r="L118" s="14">
        <f>ABS(E118)/($N$6-$L$6)</f>
        <v>0</v>
      </c>
      <c r="M118" s="48">
        <f>MAX(L118:L123)</f>
        <v>0</v>
      </c>
      <c r="N118" s="40"/>
    </row>
    <row r="119" spans="1:14" x14ac:dyDescent="0.15">
      <c r="A119" s="23">
        <v>0</v>
      </c>
      <c r="B119" s="23">
        <v>0</v>
      </c>
      <c r="C119" s="24">
        <v>0</v>
      </c>
      <c r="D119" s="25">
        <f t="shared" ref="D119:D123" si="51">IF(ABS(B119-A119)&gt;ABS(C119-A119),B119-A119,C119-A119)</f>
        <v>0</v>
      </c>
      <c r="E119" s="53">
        <f t="shared" ref="E119:E123" si="52">ABS(B119-C119)</f>
        <v>0</v>
      </c>
      <c r="F119" s="53"/>
      <c r="G119" s="10">
        <v>1.2999999999999999E-2</v>
      </c>
      <c r="I119" s="26">
        <f t="shared" si="50"/>
        <v>0</v>
      </c>
      <c r="J119" s="14">
        <f t="shared" ref="J119:J123" si="53">ABS(D119)/($N$6-$L$6)</f>
        <v>0</v>
      </c>
      <c r="K119" s="49"/>
      <c r="L119" s="14">
        <f t="shared" ref="L119:L123" si="54">ABS(E119)/($N$6-$L$6)</f>
        <v>0</v>
      </c>
      <c r="M119" s="49"/>
      <c r="N119" s="41"/>
    </row>
    <row r="120" spans="1:14" x14ac:dyDescent="0.15">
      <c r="A120" s="23">
        <v>0</v>
      </c>
      <c r="B120" s="23">
        <v>0</v>
      </c>
      <c r="C120" s="24">
        <v>0</v>
      </c>
      <c r="D120" s="25">
        <f t="shared" si="51"/>
        <v>0</v>
      </c>
      <c r="E120" s="53">
        <f t="shared" si="52"/>
        <v>0</v>
      </c>
      <c r="F120" s="53"/>
      <c r="G120" s="10">
        <v>1.2999999999999999E-2</v>
      </c>
      <c r="I120" s="26">
        <f t="shared" si="50"/>
        <v>0</v>
      </c>
      <c r="J120" s="14">
        <f t="shared" si="53"/>
        <v>0</v>
      </c>
      <c r="K120" s="49"/>
      <c r="L120" s="14">
        <f t="shared" si="54"/>
        <v>0</v>
      </c>
      <c r="M120" s="49"/>
      <c r="N120" s="41"/>
    </row>
    <row r="121" spans="1:14" x14ac:dyDescent="0.15">
      <c r="A121" s="23">
        <v>0</v>
      </c>
      <c r="B121" s="23">
        <v>0</v>
      </c>
      <c r="C121" s="24">
        <v>0</v>
      </c>
      <c r="D121" s="25">
        <f t="shared" si="51"/>
        <v>0</v>
      </c>
      <c r="E121" s="53">
        <f t="shared" si="52"/>
        <v>0</v>
      </c>
      <c r="F121" s="53"/>
      <c r="G121" s="10">
        <v>1.2999999999999999E-2</v>
      </c>
      <c r="I121" s="26">
        <f t="shared" si="50"/>
        <v>0</v>
      </c>
      <c r="J121" s="14">
        <f t="shared" si="53"/>
        <v>0</v>
      </c>
      <c r="K121" s="49"/>
      <c r="L121" s="14">
        <f t="shared" si="54"/>
        <v>0</v>
      </c>
      <c r="M121" s="49"/>
      <c r="N121" s="41"/>
    </row>
    <row r="122" spans="1:14" x14ac:dyDescent="0.15">
      <c r="A122" s="23">
        <v>0</v>
      </c>
      <c r="B122" s="23">
        <v>0</v>
      </c>
      <c r="C122" s="24">
        <v>0</v>
      </c>
      <c r="D122" s="25">
        <f t="shared" si="51"/>
        <v>0</v>
      </c>
      <c r="E122" s="53">
        <f t="shared" si="52"/>
        <v>0</v>
      </c>
      <c r="F122" s="53"/>
      <c r="G122" s="10">
        <v>1.2999999999999999E-2</v>
      </c>
      <c r="I122" s="26">
        <f t="shared" si="50"/>
        <v>0</v>
      </c>
      <c r="J122" s="14">
        <f t="shared" si="53"/>
        <v>0</v>
      </c>
      <c r="K122" s="49"/>
      <c r="L122" s="14">
        <f t="shared" si="54"/>
        <v>0</v>
      </c>
      <c r="M122" s="49"/>
      <c r="N122" s="41"/>
    </row>
    <row r="123" spans="1:14" x14ac:dyDescent="0.15">
      <c r="A123" s="23">
        <v>0</v>
      </c>
      <c r="B123" s="23">
        <v>0</v>
      </c>
      <c r="C123" s="24">
        <v>0</v>
      </c>
      <c r="D123" s="25">
        <f t="shared" si="51"/>
        <v>0</v>
      </c>
      <c r="E123" s="53">
        <f t="shared" si="52"/>
        <v>0</v>
      </c>
      <c r="F123" s="53"/>
      <c r="G123" s="10">
        <v>1.2999999999999999E-2</v>
      </c>
      <c r="I123" s="26">
        <f t="shared" si="50"/>
        <v>0</v>
      </c>
      <c r="J123" s="14">
        <f t="shared" si="53"/>
        <v>0</v>
      </c>
      <c r="K123" s="50"/>
      <c r="L123" s="14">
        <f t="shared" si="54"/>
        <v>0</v>
      </c>
      <c r="M123" s="50"/>
      <c r="N123" s="42"/>
    </row>
    <row r="124" spans="1:14" x14ac:dyDescent="0.15">
      <c r="A124" s="28"/>
      <c r="B124" s="28"/>
      <c r="C124" s="29"/>
      <c r="D124" s="30"/>
      <c r="E124" s="30"/>
      <c r="F124" s="30"/>
      <c r="G124" s="31"/>
      <c r="I124" s="32"/>
      <c r="J124" s="32"/>
      <c r="K124" s="32"/>
      <c r="L124" s="32"/>
      <c r="M124" s="33"/>
      <c r="N124" s="34"/>
    </row>
    <row r="125" spans="1:14" x14ac:dyDescent="0.15">
      <c r="A125" s="11" t="s">
        <v>38</v>
      </c>
      <c r="B125" s="5" t="s">
        <v>15</v>
      </c>
      <c r="C125" s="11"/>
      <c r="D125" s="12" t="s">
        <v>36</v>
      </c>
      <c r="E125" s="56" t="str">
        <f>$N$5</f>
        <v>psi</v>
      </c>
      <c r="F125" s="56"/>
      <c r="G125" s="4"/>
      <c r="I125" s="18" t="s">
        <v>38</v>
      </c>
      <c r="J125" s="13" t="str">
        <f>B125</f>
        <v>CH12</v>
      </c>
      <c r="K125" s="6"/>
      <c r="L125" s="12"/>
      <c r="M125" s="5"/>
      <c r="N125" s="13"/>
    </row>
    <row r="126" spans="1:14" ht="15" customHeight="1" x14ac:dyDescent="0.15">
      <c r="A126" s="57" t="s">
        <v>40</v>
      </c>
      <c r="B126" s="57" t="s">
        <v>31</v>
      </c>
      <c r="C126" s="59"/>
      <c r="D126" s="60" t="s">
        <v>34</v>
      </c>
      <c r="E126" s="62" t="s">
        <v>35</v>
      </c>
      <c r="F126" s="63"/>
      <c r="G126" s="54" t="s">
        <v>3</v>
      </c>
      <c r="I126" s="36" t="s">
        <v>40</v>
      </c>
      <c r="J126" s="47" t="s">
        <v>45</v>
      </c>
      <c r="K126" s="46" t="s">
        <v>22</v>
      </c>
      <c r="L126" s="45" t="s">
        <v>46</v>
      </c>
      <c r="M126" s="44" t="s">
        <v>22</v>
      </c>
      <c r="N126" s="43" t="s">
        <v>25</v>
      </c>
    </row>
    <row r="127" spans="1:14" x14ac:dyDescent="0.15">
      <c r="A127" s="58"/>
      <c r="B127" s="8" t="s">
        <v>32</v>
      </c>
      <c r="C127" s="9" t="s">
        <v>33</v>
      </c>
      <c r="D127" s="61"/>
      <c r="E127" s="64"/>
      <c r="F127" s="65"/>
      <c r="G127" s="55"/>
      <c r="I127" s="37" t="str">
        <f>"（"&amp;$N$5&amp;"）"</f>
        <v>（psi）</v>
      </c>
      <c r="J127" s="47"/>
      <c r="K127" s="46"/>
      <c r="L127" s="45"/>
      <c r="M127" s="44"/>
      <c r="N127" s="44"/>
    </row>
    <row r="128" spans="1:14" x14ac:dyDescent="0.15">
      <c r="A128" s="23">
        <v>0</v>
      </c>
      <c r="B128" s="23">
        <v>0</v>
      </c>
      <c r="C128" s="24">
        <v>0</v>
      </c>
      <c r="D128" s="25">
        <f>IF(ABS(B128-A128)&gt;ABS(C128-A128),B128-A128,C128-A128)</f>
        <v>0</v>
      </c>
      <c r="E128" s="53">
        <f>ABS(B128-C128)</f>
        <v>0</v>
      </c>
      <c r="F128" s="53"/>
      <c r="G128" s="10">
        <v>1.2999999999999999E-2</v>
      </c>
      <c r="I128" s="26">
        <f t="shared" ref="I128:I133" si="55">A128</f>
        <v>0</v>
      </c>
      <c r="J128" s="14">
        <f>ABS(D128)/($N$6-$L$6)</f>
        <v>0</v>
      </c>
      <c r="K128" s="48">
        <f>MAX(J128:J133)</f>
        <v>0</v>
      </c>
      <c r="L128" s="14">
        <f>ABS(E128)/($N$6-$L$6)</f>
        <v>0</v>
      </c>
      <c r="M128" s="48">
        <f>MAX(L128:L133)</f>
        <v>0</v>
      </c>
      <c r="N128" s="40"/>
    </row>
    <row r="129" spans="1:14" x14ac:dyDescent="0.15">
      <c r="A129" s="23">
        <v>0</v>
      </c>
      <c r="B129" s="23">
        <v>0</v>
      </c>
      <c r="C129" s="24">
        <v>0</v>
      </c>
      <c r="D129" s="25">
        <f t="shared" ref="D129:D133" si="56">IF(ABS(B129-A129)&gt;ABS(C129-A129),B129-A129,C129-A129)</f>
        <v>0</v>
      </c>
      <c r="E129" s="53">
        <f t="shared" ref="E129:E133" si="57">ABS(B129-C129)</f>
        <v>0</v>
      </c>
      <c r="F129" s="53"/>
      <c r="G129" s="10">
        <v>1.2999999999999999E-2</v>
      </c>
      <c r="I129" s="26">
        <f t="shared" si="55"/>
        <v>0</v>
      </c>
      <c r="J129" s="14">
        <f t="shared" ref="J129:J133" si="58">ABS(D129)/($N$6-$L$6)</f>
        <v>0</v>
      </c>
      <c r="K129" s="49"/>
      <c r="L129" s="14">
        <f t="shared" ref="L129:L133" si="59">ABS(E129)/($N$6-$L$6)</f>
        <v>0</v>
      </c>
      <c r="M129" s="49"/>
      <c r="N129" s="41"/>
    </row>
    <row r="130" spans="1:14" x14ac:dyDescent="0.15">
      <c r="A130" s="23">
        <v>0</v>
      </c>
      <c r="B130" s="23">
        <v>0</v>
      </c>
      <c r="C130" s="24">
        <v>0</v>
      </c>
      <c r="D130" s="25">
        <f t="shared" si="56"/>
        <v>0</v>
      </c>
      <c r="E130" s="53">
        <f t="shared" si="57"/>
        <v>0</v>
      </c>
      <c r="F130" s="53"/>
      <c r="G130" s="10">
        <v>1.2999999999999999E-2</v>
      </c>
      <c r="I130" s="26">
        <f t="shared" si="55"/>
        <v>0</v>
      </c>
      <c r="J130" s="14">
        <f t="shared" si="58"/>
        <v>0</v>
      </c>
      <c r="K130" s="49"/>
      <c r="L130" s="14">
        <f t="shared" si="59"/>
        <v>0</v>
      </c>
      <c r="M130" s="49"/>
      <c r="N130" s="41"/>
    </row>
    <row r="131" spans="1:14" x14ac:dyDescent="0.15">
      <c r="A131" s="23">
        <v>0</v>
      </c>
      <c r="B131" s="23">
        <v>0</v>
      </c>
      <c r="C131" s="24">
        <v>0</v>
      </c>
      <c r="D131" s="25">
        <f t="shared" si="56"/>
        <v>0</v>
      </c>
      <c r="E131" s="53">
        <f t="shared" si="57"/>
        <v>0</v>
      </c>
      <c r="F131" s="53"/>
      <c r="G131" s="10">
        <v>1.2999999999999999E-2</v>
      </c>
      <c r="I131" s="26">
        <f t="shared" si="55"/>
        <v>0</v>
      </c>
      <c r="J131" s="14">
        <f t="shared" si="58"/>
        <v>0</v>
      </c>
      <c r="K131" s="49"/>
      <c r="L131" s="14">
        <f t="shared" si="59"/>
        <v>0</v>
      </c>
      <c r="M131" s="49"/>
      <c r="N131" s="41"/>
    </row>
    <row r="132" spans="1:14" x14ac:dyDescent="0.15">
      <c r="A132" s="23">
        <v>0</v>
      </c>
      <c r="B132" s="23">
        <v>0</v>
      </c>
      <c r="C132" s="24">
        <v>0</v>
      </c>
      <c r="D132" s="25">
        <f t="shared" si="56"/>
        <v>0</v>
      </c>
      <c r="E132" s="53">
        <f t="shared" si="57"/>
        <v>0</v>
      </c>
      <c r="F132" s="53"/>
      <c r="G132" s="10">
        <v>1.2999999999999999E-2</v>
      </c>
      <c r="I132" s="26">
        <f t="shared" si="55"/>
        <v>0</v>
      </c>
      <c r="J132" s="14">
        <f t="shared" si="58"/>
        <v>0</v>
      </c>
      <c r="K132" s="49"/>
      <c r="L132" s="14">
        <f t="shared" si="59"/>
        <v>0</v>
      </c>
      <c r="M132" s="49"/>
      <c r="N132" s="41"/>
    </row>
    <row r="133" spans="1:14" x14ac:dyDescent="0.15">
      <c r="A133" s="23">
        <v>0</v>
      </c>
      <c r="B133" s="23">
        <v>0</v>
      </c>
      <c r="C133" s="24">
        <v>0</v>
      </c>
      <c r="D133" s="25">
        <f t="shared" si="56"/>
        <v>0</v>
      </c>
      <c r="E133" s="53">
        <f t="shared" si="57"/>
        <v>0</v>
      </c>
      <c r="F133" s="53"/>
      <c r="G133" s="10">
        <v>1.2999999999999999E-2</v>
      </c>
      <c r="I133" s="26">
        <f t="shared" si="55"/>
        <v>0</v>
      </c>
      <c r="J133" s="14">
        <f t="shared" si="58"/>
        <v>0</v>
      </c>
      <c r="K133" s="50"/>
      <c r="L133" s="14">
        <f t="shared" si="59"/>
        <v>0</v>
      </c>
      <c r="M133" s="50"/>
      <c r="N133" s="42"/>
    </row>
    <row r="134" spans="1:14" x14ac:dyDescent="0.15">
      <c r="A134" s="28"/>
      <c r="B134" s="28"/>
      <c r="C134" s="29"/>
      <c r="D134" s="30"/>
      <c r="E134" s="30"/>
      <c r="F134" s="30"/>
      <c r="G134" s="31"/>
    </row>
    <row r="135" spans="1:14" x14ac:dyDescent="0.15">
      <c r="A135" s="28"/>
      <c r="B135" s="28"/>
      <c r="C135" s="29"/>
      <c r="D135" s="30"/>
      <c r="E135" s="30"/>
      <c r="F135" s="30"/>
      <c r="G135" s="31"/>
    </row>
    <row r="136" spans="1:14" x14ac:dyDescent="0.15">
      <c r="A136" s="28"/>
      <c r="B136" s="28"/>
      <c r="C136" s="29"/>
      <c r="D136" s="30"/>
      <c r="E136" s="30"/>
      <c r="F136" s="30"/>
      <c r="G136" s="31"/>
    </row>
    <row r="137" spans="1:14" x14ac:dyDescent="0.15">
      <c r="A137" s="28"/>
      <c r="B137" s="28"/>
      <c r="C137" s="29"/>
      <c r="D137" s="30"/>
      <c r="E137" s="30"/>
      <c r="F137" s="30"/>
      <c r="G137" s="31"/>
    </row>
    <row r="138" spans="1:14" x14ac:dyDescent="0.15">
      <c r="A138" s="28"/>
      <c r="B138" s="28"/>
      <c r="C138" s="29"/>
      <c r="D138" s="30"/>
      <c r="E138" s="30"/>
      <c r="F138" s="30"/>
      <c r="G138" s="31"/>
      <c r="I138" s="32"/>
      <c r="J138" s="35"/>
      <c r="K138" s="35"/>
      <c r="L138" s="35"/>
      <c r="M138" s="33"/>
      <c r="N138" s="34"/>
    </row>
    <row r="139" spans="1:14" x14ac:dyDescent="0.15">
      <c r="A139" s="11" t="s">
        <v>38</v>
      </c>
      <c r="B139" s="5" t="s">
        <v>16</v>
      </c>
      <c r="C139" s="11"/>
      <c r="D139" s="12" t="s">
        <v>36</v>
      </c>
      <c r="E139" s="56" t="str">
        <f>$N$5</f>
        <v>psi</v>
      </c>
      <c r="F139" s="56"/>
      <c r="G139" s="4"/>
      <c r="I139" s="18" t="s">
        <v>38</v>
      </c>
      <c r="J139" s="13" t="str">
        <f>B139</f>
        <v>CH13</v>
      </c>
      <c r="K139" s="6"/>
      <c r="L139" s="12"/>
      <c r="M139" s="5"/>
      <c r="N139" s="13"/>
    </row>
    <row r="140" spans="1:14" ht="15" customHeight="1" x14ac:dyDescent="0.15">
      <c r="A140" s="57" t="s">
        <v>40</v>
      </c>
      <c r="B140" s="57" t="s">
        <v>31</v>
      </c>
      <c r="C140" s="59"/>
      <c r="D140" s="60" t="s">
        <v>34</v>
      </c>
      <c r="E140" s="62" t="s">
        <v>35</v>
      </c>
      <c r="F140" s="63"/>
      <c r="G140" s="54" t="s">
        <v>3</v>
      </c>
      <c r="I140" s="36" t="s">
        <v>40</v>
      </c>
      <c r="J140" s="47" t="s">
        <v>45</v>
      </c>
      <c r="K140" s="46" t="s">
        <v>22</v>
      </c>
      <c r="L140" s="45" t="s">
        <v>46</v>
      </c>
      <c r="M140" s="44" t="s">
        <v>22</v>
      </c>
      <c r="N140" s="43" t="s">
        <v>25</v>
      </c>
    </row>
    <row r="141" spans="1:14" x14ac:dyDescent="0.15">
      <c r="A141" s="58"/>
      <c r="B141" s="8" t="s">
        <v>32</v>
      </c>
      <c r="C141" s="9" t="s">
        <v>33</v>
      </c>
      <c r="D141" s="61"/>
      <c r="E141" s="64"/>
      <c r="F141" s="65"/>
      <c r="G141" s="55"/>
      <c r="I141" s="37" t="str">
        <f>"（"&amp;$N$5&amp;"）"</f>
        <v>（psi）</v>
      </c>
      <c r="J141" s="47"/>
      <c r="K141" s="46"/>
      <c r="L141" s="45"/>
      <c r="M141" s="44"/>
      <c r="N141" s="44"/>
    </row>
    <row r="142" spans="1:14" x14ac:dyDescent="0.15">
      <c r="A142" s="23">
        <v>0</v>
      </c>
      <c r="B142" s="23">
        <v>0</v>
      </c>
      <c r="C142" s="24">
        <v>0</v>
      </c>
      <c r="D142" s="25">
        <f>IF(ABS(B142-A142)&gt;ABS(C142-A142),B142-A142,C142-A142)</f>
        <v>0</v>
      </c>
      <c r="E142" s="53">
        <f>ABS(B142-C142)</f>
        <v>0</v>
      </c>
      <c r="F142" s="53"/>
      <c r="G142" s="10">
        <v>1.2999999999999999E-2</v>
      </c>
      <c r="I142" s="26">
        <f t="shared" ref="I142:I147" si="60">A142</f>
        <v>0</v>
      </c>
      <c r="J142" s="14">
        <f>ABS(D142)/($N$6-$L$6)</f>
        <v>0</v>
      </c>
      <c r="K142" s="48">
        <f>MAX(J142:J147)</f>
        <v>0</v>
      </c>
      <c r="L142" s="14">
        <f>ABS(E142)/($N$6-$L$6)</f>
        <v>0</v>
      </c>
      <c r="M142" s="48">
        <f>MAX(L142:L147)</f>
        <v>0</v>
      </c>
      <c r="N142" s="40"/>
    </row>
    <row r="143" spans="1:14" x14ac:dyDescent="0.15">
      <c r="A143" s="23">
        <v>0</v>
      </c>
      <c r="B143" s="23">
        <v>0</v>
      </c>
      <c r="C143" s="24">
        <v>0</v>
      </c>
      <c r="D143" s="25">
        <f t="shared" ref="D143:D147" si="61">IF(ABS(B143-A143)&gt;ABS(C143-A143),B143-A143,C143-A143)</f>
        <v>0</v>
      </c>
      <c r="E143" s="53">
        <f t="shared" ref="E143:E147" si="62">ABS(B143-C143)</f>
        <v>0</v>
      </c>
      <c r="F143" s="53"/>
      <c r="G143" s="10">
        <v>1.2999999999999999E-2</v>
      </c>
      <c r="I143" s="26">
        <f t="shared" si="60"/>
        <v>0</v>
      </c>
      <c r="J143" s="14">
        <f t="shared" ref="J143:J147" si="63">ABS(D143)/($N$6-$L$6)</f>
        <v>0</v>
      </c>
      <c r="K143" s="49"/>
      <c r="L143" s="14">
        <f t="shared" ref="L143:L147" si="64">ABS(E143)/($N$6-$L$6)</f>
        <v>0</v>
      </c>
      <c r="M143" s="49"/>
      <c r="N143" s="41"/>
    </row>
    <row r="144" spans="1:14" x14ac:dyDescent="0.15">
      <c r="A144" s="23">
        <v>0</v>
      </c>
      <c r="B144" s="23">
        <v>0</v>
      </c>
      <c r="C144" s="24">
        <v>0</v>
      </c>
      <c r="D144" s="25">
        <f t="shared" si="61"/>
        <v>0</v>
      </c>
      <c r="E144" s="53">
        <f t="shared" si="62"/>
        <v>0</v>
      </c>
      <c r="F144" s="53"/>
      <c r="G144" s="10">
        <v>1.2999999999999999E-2</v>
      </c>
      <c r="I144" s="26">
        <f t="shared" si="60"/>
        <v>0</v>
      </c>
      <c r="J144" s="14">
        <f t="shared" si="63"/>
        <v>0</v>
      </c>
      <c r="K144" s="49"/>
      <c r="L144" s="14">
        <f t="shared" si="64"/>
        <v>0</v>
      </c>
      <c r="M144" s="49"/>
      <c r="N144" s="41"/>
    </row>
    <row r="145" spans="1:14" x14ac:dyDescent="0.15">
      <c r="A145" s="23">
        <v>0</v>
      </c>
      <c r="B145" s="23">
        <v>0</v>
      </c>
      <c r="C145" s="24">
        <v>0</v>
      </c>
      <c r="D145" s="25">
        <f t="shared" si="61"/>
        <v>0</v>
      </c>
      <c r="E145" s="53">
        <f t="shared" si="62"/>
        <v>0</v>
      </c>
      <c r="F145" s="53"/>
      <c r="G145" s="10">
        <v>1.2999999999999999E-2</v>
      </c>
      <c r="I145" s="26">
        <f t="shared" si="60"/>
        <v>0</v>
      </c>
      <c r="J145" s="14">
        <f t="shared" si="63"/>
        <v>0</v>
      </c>
      <c r="K145" s="49"/>
      <c r="L145" s="14">
        <f t="shared" si="64"/>
        <v>0</v>
      </c>
      <c r="M145" s="49"/>
      <c r="N145" s="41"/>
    </row>
    <row r="146" spans="1:14" x14ac:dyDescent="0.15">
      <c r="A146" s="23">
        <v>0</v>
      </c>
      <c r="B146" s="23">
        <v>0</v>
      </c>
      <c r="C146" s="24">
        <v>0</v>
      </c>
      <c r="D146" s="25">
        <f t="shared" si="61"/>
        <v>0</v>
      </c>
      <c r="E146" s="53">
        <f t="shared" si="62"/>
        <v>0</v>
      </c>
      <c r="F146" s="53"/>
      <c r="G146" s="10">
        <v>1.2999999999999999E-2</v>
      </c>
      <c r="I146" s="26">
        <f t="shared" si="60"/>
        <v>0</v>
      </c>
      <c r="J146" s="14">
        <f t="shared" si="63"/>
        <v>0</v>
      </c>
      <c r="K146" s="49"/>
      <c r="L146" s="14">
        <f t="shared" si="64"/>
        <v>0</v>
      </c>
      <c r="M146" s="49"/>
      <c r="N146" s="41"/>
    </row>
    <row r="147" spans="1:14" x14ac:dyDescent="0.15">
      <c r="A147" s="23">
        <v>0</v>
      </c>
      <c r="B147" s="23">
        <v>0</v>
      </c>
      <c r="C147" s="24">
        <v>0</v>
      </c>
      <c r="D147" s="25">
        <f t="shared" si="61"/>
        <v>0</v>
      </c>
      <c r="E147" s="53">
        <f t="shared" si="62"/>
        <v>0</v>
      </c>
      <c r="F147" s="53"/>
      <c r="G147" s="10">
        <v>1.2999999999999999E-2</v>
      </c>
      <c r="I147" s="26">
        <f t="shared" si="60"/>
        <v>0</v>
      </c>
      <c r="J147" s="14">
        <f t="shared" si="63"/>
        <v>0</v>
      </c>
      <c r="K147" s="50"/>
      <c r="L147" s="14">
        <f t="shared" si="64"/>
        <v>0</v>
      </c>
      <c r="M147" s="50"/>
      <c r="N147" s="42"/>
    </row>
    <row r="148" spans="1:14" x14ac:dyDescent="0.15">
      <c r="A148" s="28"/>
      <c r="B148" s="28"/>
      <c r="C148" s="29"/>
      <c r="D148" s="30"/>
      <c r="E148" s="30"/>
      <c r="F148" s="30"/>
      <c r="G148" s="31"/>
      <c r="I148" s="32"/>
      <c r="J148" s="32"/>
      <c r="K148" s="32"/>
      <c r="L148" s="32"/>
      <c r="M148" s="33"/>
      <c r="N148" s="34"/>
    </row>
    <row r="149" spans="1:14" x14ac:dyDescent="0.15">
      <c r="A149" s="11" t="s">
        <v>38</v>
      </c>
      <c r="B149" s="5" t="s">
        <v>17</v>
      </c>
      <c r="C149" s="11"/>
      <c r="D149" s="12" t="s">
        <v>36</v>
      </c>
      <c r="E149" s="56" t="str">
        <f>$N$5</f>
        <v>psi</v>
      </c>
      <c r="F149" s="56"/>
      <c r="G149" s="4"/>
      <c r="I149" s="18" t="s">
        <v>38</v>
      </c>
      <c r="J149" s="13" t="str">
        <f>B149</f>
        <v>CH14</v>
      </c>
      <c r="K149" s="6"/>
      <c r="L149" s="12"/>
      <c r="M149" s="5"/>
      <c r="N149" s="13"/>
    </row>
    <row r="150" spans="1:14" ht="15" customHeight="1" x14ac:dyDescent="0.15">
      <c r="A150" s="57" t="s">
        <v>40</v>
      </c>
      <c r="B150" s="57" t="s">
        <v>31</v>
      </c>
      <c r="C150" s="59"/>
      <c r="D150" s="60" t="s">
        <v>34</v>
      </c>
      <c r="E150" s="62" t="s">
        <v>35</v>
      </c>
      <c r="F150" s="63"/>
      <c r="G150" s="54" t="s">
        <v>3</v>
      </c>
      <c r="I150" s="36" t="s">
        <v>40</v>
      </c>
      <c r="J150" s="47" t="s">
        <v>45</v>
      </c>
      <c r="K150" s="46" t="s">
        <v>22</v>
      </c>
      <c r="L150" s="45" t="s">
        <v>46</v>
      </c>
      <c r="M150" s="44" t="s">
        <v>22</v>
      </c>
      <c r="N150" s="43" t="s">
        <v>25</v>
      </c>
    </row>
    <row r="151" spans="1:14" x14ac:dyDescent="0.15">
      <c r="A151" s="58"/>
      <c r="B151" s="8" t="s">
        <v>32</v>
      </c>
      <c r="C151" s="9" t="s">
        <v>33</v>
      </c>
      <c r="D151" s="61"/>
      <c r="E151" s="64"/>
      <c r="F151" s="65"/>
      <c r="G151" s="55"/>
      <c r="I151" s="37" t="str">
        <f>"（"&amp;$N$5&amp;"）"</f>
        <v>（psi）</v>
      </c>
      <c r="J151" s="47"/>
      <c r="K151" s="46"/>
      <c r="L151" s="45"/>
      <c r="M151" s="44"/>
      <c r="N151" s="44"/>
    </row>
    <row r="152" spans="1:14" x14ac:dyDescent="0.15">
      <c r="A152" s="23">
        <v>0</v>
      </c>
      <c r="B152" s="23">
        <v>0</v>
      </c>
      <c r="C152" s="24">
        <v>0</v>
      </c>
      <c r="D152" s="25">
        <f>IF(ABS(B152-A152)&gt;ABS(C152-A152),B152-A152,C152-A152)</f>
        <v>0</v>
      </c>
      <c r="E152" s="53">
        <f>ABS(B152-C152)</f>
        <v>0</v>
      </c>
      <c r="F152" s="53"/>
      <c r="G152" s="10">
        <v>1.2999999999999999E-2</v>
      </c>
      <c r="I152" s="26">
        <f t="shared" ref="I152:I157" si="65">A152</f>
        <v>0</v>
      </c>
      <c r="J152" s="14">
        <f>ABS(D152)/($N$6-$L$6)</f>
        <v>0</v>
      </c>
      <c r="K152" s="48">
        <f>MAX(J152:J157)</f>
        <v>0</v>
      </c>
      <c r="L152" s="14">
        <f>ABS(E152)/($N$6-$L$6)</f>
        <v>0</v>
      </c>
      <c r="M152" s="48">
        <f>MAX(L152:L157)</f>
        <v>0</v>
      </c>
      <c r="N152" s="40"/>
    </row>
    <row r="153" spans="1:14" x14ac:dyDescent="0.15">
      <c r="A153" s="23">
        <v>0</v>
      </c>
      <c r="B153" s="23">
        <v>0</v>
      </c>
      <c r="C153" s="24">
        <v>0</v>
      </c>
      <c r="D153" s="25">
        <f t="shared" ref="D153:D157" si="66">IF(ABS(B153-A153)&gt;ABS(C153-A153),B153-A153,C153-A153)</f>
        <v>0</v>
      </c>
      <c r="E153" s="53">
        <f t="shared" ref="E153:E157" si="67">ABS(B153-C153)</f>
        <v>0</v>
      </c>
      <c r="F153" s="53"/>
      <c r="G153" s="10">
        <v>1.2999999999999999E-2</v>
      </c>
      <c r="I153" s="26">
        <f t="shared" si="65"/>
        <v>0</v>
      </c>
      <c r="J153" s="14">
        <f t="shared" ref="J153:J157" si="68">ABS(D153)/($N$6-$L$6)</f>
        <v>0</v>
      </c>
      <c r="K153" s="49"/>
      <c r="L153" s="14">
        <f t="shared" ref="L153:L157" si="69">ABS(E153)/($N$6-$L$6)</f>
        <v>0</v>
      </c>
      <c r="M153" s="49"/>
      <c r="N153" s="41"/>
    </row>
    <row r="154" spans="1:14" x14ac:dyDescent="0.15">
      <c r="A154" s="23">
        <v>0</v>
      </c>
      <c r="B154" s="23">
        <v>0</v>
      </c>
      <c r="C154" s="24">
        <v>0</v>
      </c>
      <c r="D154" s="25">
        <f t="shared" si="66"/>
        <v>0</v>
      </c>
      <c r="E154" s="53">
        <f t="shared" si="67"/>
        <v>0</v>
      </c>
      <c r="F154" s="53"/>
      <c r="G154" s="10">
        <v>1.2999999999999999E-2</v>
      </c>
      <c r="I154" s="26">
        <f t="shared" si="65"/>
        <v>0</v>
      </c>
      <c r="J154" s="14">
        <f t="shared" si="68"/>
        <v>0</v>
      </c>
      <c r="K154" s="49"/>
      <c r="L154" s="14">
        <f t="shared" si="69"/>
        <v>0</v>
      </c>
      <c r="M154" s="49"/>
      <c r="N154" s="41"/>
    </row>
    <row r="155" spans="1:14" x14ac:dyDescent="0.15">
      <c r="A155" s="23">
        <v>0</v>
      </c>
      <c r="B155" s="23">
        <v>0</v>
      </c>
      <c r="C155" s="24">
        <v>0</v>
      </c>
      <c r="D155" s="25">
        <f t="shared" si="66"/>
        <v>0</v>
      </c>
      <c r="E155" s="53">
        <f t="shared" si="67"/>
        <v>0</v>
      </c>
      <c r="F155" s="53"/>
      <c r="G155" s="10">
        <v>1.2999999999999999E-2</v>
      </c>
      <c r="I155" s="26">
        <f t="shared" si="65"/>
        <v>0</v>
      </c>
      <c r="J155" s="14">
        <f t="shared" si="68"/>
        <v>0</v>
      </c>
      <c r="K155" s="49"/>
      <c r="L155" s="14">
        <f t="shared" si="69"/>
        <v>0</v>
      </c>
      <c r="M155" s="49"/>
      <c r="N155" s="41"/>
    </row>
    <row r="156" spans="1:14" x14ac:dyDescent="0.15">
      <c r="A156" s="23">
        <v>0</v>
      </c>
      <c r="B156" s="23">
        <v>0</v>
      </c>
      <c r="C156" s="24">
        <v>0</v>
      </c>
      <c r="D156" s="25">
        <f t="shared" si="66"/>
        <v>0</v>
      </c>
      <c r="E156" s="53">
        <f t="shared" si="67"/>
        <v>0</v>
      </c>
      <c r="F156" s="53"/>
      <c r="G156" s="10">
        <v>1.2999999999999999E-2</v>
      </c>
      <c r="I156" s="26">
        <f t="shared" si="65"/>
        <v>0</v>
      </c>
      <c r="J156" s="14">
        <f t="shared" si="68"/>
        <v>0</v>
      </c>
      <c r="K156" s="49"/>
      <c r="L156" s="14">
        <f t="shared" si="69"/>
        <v>0</v>
      </c>
      <c r="M156" s="49"/>
      <c r="N156" s="41"/>
    </row>
    <row r="157" spans="1:14" x14ac:dyDescent="0.15">
      <c r="A157" s="23">
        <v>0</v>
      </c>
      <c r="B157" s="23">
        <v>0</v>
      </c>
      <c r="C157" s="24">
        <v>0</v>
      </c>
      <c r="D157" s="25">
        <f t="shared" si="66"/>
        <v>0</v>
      </c>
      <c r="E157" s="53">
        <f t="shared" si="67"/>
        <v>0</v>
      </c>
      <c r="F157" s="53"/>
      <c r="G157" s="10">
        <v>1.2999999999999999E-2</v>
      </c>
      <c r="I157" s="26">
        <f t="shared" si="65"/>
        <v>0</v>
      </c>
      <c r="J157" s="14">
        <f t="shared" si="68"/>
        <v>0</v>
      </c>
      <c r="K157" s="50"/>
      <c r="L157" s="14">
        <f t="shared" si="69"/>
        <v>0</v>
      </c>
      <c r="M157" s="50"/>
      <c r="N157" s="42"/>
    </row>
    <row r="158" spans="1:14" x14ac:dyDescent="0.15">
      <c r="A158" s="28"/>
      <c r="B158" s="28"/>
      <c r="C158" s="29"/>
      <c r="D158" s="30"/>
      <c r="E158" s="30"/>
      <c r="F158" s="30"/>
      <c r="G158" s="31"/>
      <c r="I158" s="32"/>
      <c r="J158" s="32"/>
      <c r="K158" s="32"/>
      <c r="L158" s="32"/>
      <c r="M158" s="33"/>
      <c r="N158" s="34"/>
    </row>
    <row r="159" spans="1:14" x14ac:dyDescent="0.15">
      <c r="A159" s="11" t="s">
        <v>38</v>
      </c>
      <c r="B159" s="5" t="s">
        <v>18</v>
      </c>
      <c r="C159" s="11"/>
      <c r="D159" s="12" t="s">
        <v>36</v>
      </c>
      <c r="E159" s="56" t="str">
        <f>$N$5</f>
        <v>psi</v>
      </c>
      <c r="F159" s="56"/>
      <c r="G159" s="4"/>
      <c r="I159" s="18" t="s">
        <v>38</v>
      </c>
      <c r="J159" s="13" t="str">
        <f>B159</f>
        <v>CH15</v>
      </c>
      <c r="K159" s="6"/>
      <c r="L159" s="12"/>
      <c r="M159" s="5"/>
      <c r="N159" s="13"/>
    </row>
    <row r="160" spans="1:14" ht="15" customHeight="1" x14ac:dyDescent="0.15">
      <c r="A160" s="57" t="s">
        <v>40</v>
      </c>
      <c r="B160" s="57" t="s">
        <v>31</v>
      </c>
      <c r="C160" s="59"/>
      <c r="D160" s="60" t="s">
        <v>34</v>
      </c>
      <c r="E160" s="62" t="s">
        <v>35</v>
      </c>
      <c r="F160" s="63"/>
      <c r="G160" s="54" t="s">
        <v>3</v>
      </c>
      <c r="I160" s="36" t="s">
        <v>40</v>
      </c>
      <c r="J160" s="47" t="s">
        <v>45</v>
      </c>
      <c r="K160" s="46" t="s">
        <v>22</v>
      </c>
      <c r="L160" s="45" t="s">
        <v>46</v>
      </c>
      <c r="M160" s="44" t="s">
        <v>22</v>
      </c>
      <c r="N160" s="43" t="s">
        <v>25</v>
      </c>
    </row>
    <row r="161" spans="1:14" x14ac:dyDescent="0.15">
      <c r="A161" s="58"/>
      <c r="B161" s="8" t="s">
        <v>32</v>
      </c>
      <c r="C161" s="9" t="s">
        <v>33</v>
      </c>
      <c r="D161" s="61"/>
      <c r="E161" s="64"/>
      <c r="F161" s="65"/>
      <c r="G161" s="55"/>
      <c r="I161" s="37" t="str">
        <f>"（"&amp;$N$5&amp;"）"</f>
        <v>（psi）</v>
      </c>
      <c r="J161" s="47"/>
      <c r="K161" s="46"/>
      <c r="L161" s="45"/>
      <c r="M161" s="44"/>
      <c r="N161" s="44"/>
    </row>
    <row r="162" spans="1:14" x14ac:dyDescent="0.15">
      <c r="A162" s="23">
        <v>0</v>
      </c>
      <c r="B162" s="23">
        <v>0</v>
      </c>
      <c r="C162" s="24">
        <v>0</v>
      </c>
      <c r="D162" s="25">
        <f>IF(ABS(B162-A162)&gt;ABS(C162-A162),B162-A162,C162-A162)</f>
        <v>0</v>
      </c>
      <c r="E162" s="53">
        <f>ABS(B162-C162)</f>
        <v>0</v>
      </c>
      <c r="F162" s="53"/>
      <c r="G162" s="10">
        <v>1.2999999999999999E-2</v>
      </c>
      <c r="I162" s="26">
        <f t="shared" ref="I162:I167" si="70">A162</f>
        <v>0</v>
      </c>
      <c r="J162" s="14">
        <f>ABS(D162)/($N$6-$L$6)</f>
        <v>0</v>
      </c>
      <c r="K162" s="48">
        <f>MAX(J162:J167)</f>
        <v>0</v>
      </c>
      <c r="L162" s="14">
        <f>ABS(E162)/($N$6-$L$6)</f>
        <v>0</v>
      </c>
      <c r="M162" s="48">
        <f>MAX(L162:L167)</f>
        <v>0</v>
      </c>
      <c r="N162" s="40"/>
    </row>
    <row r="163" spans="1:14" x14ac:dyDescent="0.15">
      <c r="A163" s="23">
        <v>0</v>
      </c>
      <c r="B163" s="23">
        <v>0</v>
      </c>
      <c r="C163" s="24">
        <v>0</v>
      </c>
      <c r="D163" s="25">
        <f t="shared" ref="D163:D167" si="71">IF(ABS(B163-A163)&gt;ABS(C163-A163),B163-A163,C163-A163)</f>
        <v>0</v>
      </c>
      <c r="E163" s="53">
        <f t="shared" ref="E163:E167" si="72">ABS(B163-C163)</f>
        <v>0</v>
      </c>
      <c r="F163" s="53"/>
      <c r="G163" s="10">
        <v>1.2999999999999999E-2</v>
      </c>
      <c r="I163" s="26">
        <f t="shared" si="70"/>
        <v>0</v>
      </c>
      <c r="J163" s="14">
        <f t="shared" ref="J163:J167" si="73">ABS(D163)/($N$6-$L$6)</f>
        <v>0</v>
      </c>
      <c r="K163" s="49"/>
      <c r="L163" s="14">
        <f t="shared" ref="L163:L167" si="74">ABS(E163)/($N$6-$L$6)</f>
        <v>0</v>
      </c>
      <c r="M163" s="49"/>
      <c r="N163" s="41"/>
    </row>
    <row r="164" spans="1:14" x14ac:dyDescent="0.15">
      <c r="A164" s="23">
        <v>0</v>
      </c>
      <c r="B164" s="23">
        <v>0</v>
      </c>
      <c r="C164" s="24">
        <v>0</v>
      </c>
      <c r="D164" s="25">
        <f t="shared" si="71"/>
        <v>0</v>
      </c>
      <c r="E164" s="53">
        <f t="shared" si="72"/>
        <v>0</v>
      </c>
      <c r="F164" s="53"/>
      <c r="G164" s="10">
        <v>1.2999999999999999E-2</v>
      </c>
      <c r="I164" s="26">
        <f t="shared" si="70"/>
        <v>0</v>
      </c>
      <c r="J164" s="14">
        <f t="shared" si="73"/>
        <v>0</v>
      </c>
      <c r="K164" s="49"/>
      <c r="L164" s="14">
        <f t="shared" si="74"/>
        <v>0</v>
      </c>
      <c r="M164" s="49"/>
      <c r="N164" s="41"/>
    </row>
    <row r="165" spans="1:14" x14ac:dyDescent="0.15">
      <c r="A165" s="23">
        <v>0</v>
      </c>
      <c r="B165" s="23">
        <v>0</v>
      </c>
      <c r="C165" s="24">
        <v>0</v>
      </c>
      <c r="D165" s="25">
        <f t="shared" si="71"/>
        <v>0</v>
      </c>
      <c r="E165" s="53">
        <f t="shared" si="72"/>
        <v>0</v>
      </c>
      <c r="F165" s="53"/>
      <c r="G165" s="10">
        <v>1.2999999999999999E-2</v>
      </c>
      <c r="I165" s="26">
        <f t="shared" si="70"/>
        <v>0</v>
      </c>
      <c r="J165" s="14">
        <f t="shared" si="73"/>
        <v>0</v>
      </c>
      <c r="K165" s="49"/>
      <c r="L165" s="14">
        <f t="shared" si="74"/>
        <v>0</v>
      </c>
      <c r="M165" s="49"/>
      <c r="N165" s="41"/>
    </row>
    <row r="166" spans="1:14" x14ac:dyDescent="0.15">
      <c r="A166" s="23">
        <v>0</v>
      </c>
      <c r="B166" s="23">
        <v>0</v>
      </c>
      <c r="C166" s="24">
        <v>0</v>
      </c>
      <c r="D166" s="25">
        <f t="shared" si="71"/>
        <v>0</v>
      </c>
      <c r="E166" s="53">
        <f t="shared" si="72"/>
        <v>0</v>
      </c>
      <c r="F166" s="53"/>
      <c r="G166" s="10">
        <v>1.2999999999999999E-2</v>
      </c>
      <c r="I166" s="26">
        <f t="shared" si="70"/>
        <v>0</v>
      </c>
      <c r="J166" s="14">
        <f t="shared" si="73"/>
        <v>0</v>
      </c>
      <c r="K166" s="49"/>
      <c r="L166" s="14">
        <f t="shared" si="74"/>
        <v>0</v>
      </c>
      <c r="M166" s="49"/>
      <c r="N166" s="41"/>
    </row>
    <row r="167" spans="1:14" x14ac:dyDescent="0.15">
      <c r="A167" s="23">
        <v>0</v>
      </c>
      <c r="B167" s="23">
        <v>0</v>
      </c>
      <c r="C167" s="24">
        <v>0</v>
      </c>
      <c r="D167" s="25">
        <f t="shared" si="71"/>
        <v>0</v>
      </c>
      <c r="E167" s="53">
        <f t="shared" si="72"/>
        <v>0</v>
      </c>
      <c r="F167" s="53"/>
      <c r="G167" s="10">
        <v>1.2999999999999999E-2</v>
      </c>
      <c r="I167" s="26">
        <f t="shared" si="70"/>
        <v>0</v>
      </c>
      <c r="J167" s="14">
        <f t="shared" si="73"/>
        <v>0</v>
      </c>
      <c r="K167" s="50"/>
      <c r="L167" s="14">
        <f t="shared" si="74"/>
        <v>0</v>
      </c>
      <c r="M167" s="50"/>
      <c r="N167" s="42"/>
    </row>
    <row r="168" spans="1:14" x14ac:dyDescent="0.15">
      <c r="A168" s="28"/>
      <c r="B168" s="28"/>
      <c r="C168" s="29"/>
      <c r="D168" s="30"/>
      <c r="E168" s="30"/>
      <c r="F168" s="30"/>
      <c r="G168" s="31"/>
      <c r="I168" s="32"/>
      <c r="J168" s="32"/>
      <c r="K168" s="32"/>
      <c r="L168" s="32"/>
      <c r="M168" s="33"/>
      <c r="N168" s="34"/>
    </row>
    <row r="169" spans="1:14" x14ac:dyDescent="0.15">
      <c r="A169" s="11" t="s">
        <v>38</v>
      </c>
      <c r="B169" s="5" t="s">
        <v>19</v>
      </c>
      <c r="C169" s="11"/>
      <c r="D169" s="12" t="s">
        <v>36</v>
      </c>
      <c r="E169" s="56" t="str">
        <f>$N$5</f>
        <v>psi</v>
      </c>
      <c r="F169" s="56"/>
      <c r="G169" s="4"/>
      <c r="I169" s="18" t="s">
        <v>38</v>
      </c>
      <c r="J169" s="13" t="str">
        <f>B169</f>
        <v>CH16</v>
      </c>
      <c r="K169" s="6"/>
      <c r="L169" s="12"/>
      <c r="M169" s="5"/>
      <c r="N169" s="13"/>
    </row>
    <row r="170" spans="1:14" ht="15" customHeight="1" x14ac:dyDescent="0.15">
      <c r="A170" s="57" t="s">
        <v>40</v>
      </c>
      <c r="B170" s="57" t="s">
        <v>31</v>
      </c>
      <c r="C170" s="59"/>
      <c r="D170" s="60" t="s">
        <v>34</v>
      </c>
      <c r="E170" s="62" t="s">
        <v>35</v>
      </c>
      <c r="F170" s="63"/>
      <c r="G170" s="54" t="s">
        <v>3</v>
      </c>
      <c r="I170" s="36" t="s">
        <v>40</v>
      </c>
      <c r="J170" s="47" t="s">
        <v>45</v>
      </c>
      <c r="K170" s="46" t="s">
        <v>22</v>
      </c>
      <c r="L170" s="45" t="s">
        <v>46</v>
      </c>
      <c r="M170" s="44" t="s">
        <v>22</v>
      </c>
      <c r="N170" s="43" t="s">
        <v>25</v>
      </c>
    </row>
    <row r="171" spans="1:14" x14ac:dyDescent="0.15">
      <c r="A171" s="58"/>
      <c r="B171" s="8" t="s">
        <v>32</v>
      </c>
      <c r="C171" s="9" t="s">
        <v>33</v>
      </c>
      <c r="D171" s="61"/>
      <c r="E171" s="64"/>
      <c r="F171" s="65"/>
      <c r="G171" s="55"/>
      <c r="I171" s="37" t="str">
        <f>"（"&amp;$N$5&amp;"）"</f>
        <v>（psi）</v>
      </c>
      <c r="J171" s="47"/>
      <c r="K171" s="46"/>
      <c r="L171" s="45"/>
      <c r="M171" s="44"/>
      <c r="N171" s="44"/>
    </row>
    <row r="172" spans="1:14" x14ac:dyDescent="0.15">
      <c r="A172" s="23">
        <v>0</v>
      </c>
      <c r="B172" s="23">
        <v>0</v>
      </c>
      <c r="C172" s="24">
        <v>0</v>
      </c>
      <c r="D172" s="25">
        <f>IF(ABS(B172-A172)&gt;ABS(C172-A172),B172-A172,C172-A172)</f>
        <v>0</v>
      </c>
      <c r="E172" s="53">
        <f>ABS(B172-C172)</f>
        <v>0</v>
      </c>
      <c r="F172" s="53"/>
      <c r="G172" s="10">
        <v>1.2999999999999999E-2</v>
      </c>
      <c r="I172" s="26">
        <f t="shared" ref="I172:I177" si="75">A172</f>
        <v>0</v>
      </c>
      <c r="J172" s="14">
        <f>ABS(D172)/($N$6-$L$6)</f>
        <v>0</v>
      </c>
      <c r="K172" s="48">
        <f>MAX(J172:J177)</f>
        <v>0</v>
      </c>
      <c r="L172" s="14">
        <f>ABS(E172)/($N$6-$L$6)</f>
        <v>0</v>
      </c>
      <c r="M172" s="48">
        <f>MAX(L172:L177)</f>
        <v>0</v>
      </c>
      <c r="N172" s="40"/>
    </row>
    <row r="173" spans="1:14" x14ac:dyDescent="0.15">
      <c r="A173" s="23">
        <v>0</v>
      </c>
      <c r="B173" s="23">
        <v>0</v>
      </c>
      <c r="C173" s="24">
        <v>0</v>
      </c>
      <c r="D173" s="25">
        <f t="shared" ref="D173:D177" si="76">IF(ABS(B173-A173)&gt;ABS(C173-A173),B173-A173,C173-A173)</f>
        <v>0</v>
      </c>
      <c r="E173" s="53">
        <f t="shared" ref="E173:E177" si="77">ABS(B173-C173)</f>
        <v>0</v>
      </c>
      <c r="F173" s="53"/>
      <c r="G173" s="10">
        <v>1.2999999999999999E-2</v>
      </c>
      <c r="I173" s="26">
        <f t="shared" si="75"/>
        <v>0</v>
      </c>
      <c r="J173" s="14">
        <f t="shared" ref="J173:J177" si="78">ABS(D173)/($N$6-$L$6)</f>
        <v>0</v>
      </c>
      <c r="K173" s="49"/>
      <c r="L173" s="14">
        <f t="shared" ref="L173:L177" si="79">ABS(E173)/($N$6-$L$6)</f>
        <v>0</v>
      </c>
      <c r="M173" s="49"/>
      <c r="N173" s="41"/>
    </row>
    <row r="174" spans="1:14" x14ac:dyDescent="0.15">
      <c r="A174" s="23">
        <v>0</v>
      </c>
      <c r="B174" s="23">
        <v>0</v>
      </c>
      <c r="C174" s="24">
        <v>0</v>
      </c>
      <c r="D174" s="25">
        <f t="shared" si="76"/>
        <v>0</v>
      </c>
      <c r="E174" s="53">
        <f t="shared" si="77"/>
        <v>0</v>
      </c>
      <c r="F174" s="53"/>
      <c r="G174" s="10">
        <v>1.2999999999999999E-2</v>
      </c>
      <c r="I174" s="26">
        <f t="shared" si="75"/>
        <v>0</v>
      </c>
      <c r="J174" s="14">
        <f t="shared" si="78"/>
        <v>0</v>
      </c>
      <c r="K174" s="49"/>
      <c r="L174" s="14">
        <f t="shared" si="79"/>
        <v>0</v>
      </c>
      <c r="M174" s="49"/>
      <c r="N174" s="41"/>
    </row>
    <row r="175" spans="1:14" x14ac:dyDescent="0.15">
      <c r="A175" s="23">
        <v>0</v>
      </c>
      <c r="B175" s="23">
        <v>0</v>
      </c>
      <c r="C175" s="24">
        <v>0</v>
      </c>
      <c r="D175" s="25">
        <f t="shared" si="76"/>
        <v>0</v>
      </c>
      <c r="E175" s="53">
        <f t="shared" si="77"/>
        <v>0</v>
      </c>
      <c r="F175" s="53"/>
      <c r="G175" s="10">
        <v>1.2999999999999999E-2</v>
      </c>
      <c r="I175" s="26">
        <f t="shared" si="75"/>
        <v>0</v>
      </c>
      <c r="J175" s="14">
        <f t="shared" si="78"/>
        <v>0</v>
      </c>
      <c r="K175" s="49"/>
      <c r="L175" s="14">
        <f t="shared" si="79"/>
        <v>0</v>
      </c>
      <c r="M175" s="49"/>
      <c r="N175" s="41"/>
    </row>
    <row r="176" spans="1:14" x14ac:dyDescent="0.15">
      <c r="A176" s="23">
        <v>0</v>
      </c>
      <c r="B176" s="23">
        <v>0</v>
      </c>
      <c r="C176" s="24">
        <v>0</v>
      </c>
      <c r="D176" s="25">
        <f t="shared" si="76"/>
        <v>0</v>
      </c>
      <c r="E176" s="53">
        <f t="shared" si="77"/>
        <v>0</v>
      </c>
      <c r="F176" s="53"/>
      <c r="G176" s="10">
        <v>1.2999999999999999E-2</v>
      </c>
      <c r="I176" s="26">
        <f t="shared" si="75"/>
        <v>0</v>
      </c>
      <c r="J176" s="14">
        <f t="shared" si="78"/>
        <v>0</v>
      </c>
      <c r="K176" s="49"/>
      <c r="L176" s="14">
        <f t="shared" si="79"/>
        <v>0</v>
      </c>
      <c r="M176" s="49"/>
      <c r="N176" s="41"/>
    </row>
    <row r="177" spans="1:14" x14ac:dyDescent="0.15">
      <c r="A177" s="23">
        <v>0</v>
      </c>
      <c r="B177" s="23">
        <v>0</v>
      </c>
      <c r="C177" s="24">
        <v>0</v>
      </c>
      <c r="D177" s="25">
        <f t="shared" si="76"/>
        <v>0</v>
      </c>
      <c r="E177" s="53">
        <f t="shared" si="77"/>
        <v>0</v>
      </c>
      <c r="F177" s="53"/>
      <c r="G177" s="10">
        <v>1.2999999999999999E-2</v>
      </c>
      <c r="I177" s="26">
        <f t="shared" si="75"/>
        <v>0</v>
      </c>
      <c r="J177" s="14">
        <f t="shared" si="78"/>
        <v>0</v>
      </c>
      <c r="K177" s="50"/>
      <c r="L177" s="14">
        <f t="shared" si="79"/>
        <v>0</v>
      </c>
      <c r="M177" s="50"/>
      <c r="N177" s="42"/>
    </row>
    <row r="178" spans="1:14" x14ac:dyDescent="0.15">
      <c r="A178" s="52"/>
      <c r="B178" s="52"/>
      <c r="C178" s="52"/>
      <c r="D178" s="52"/>
      <c r="E178" s="52"/>
      <c r="F178" s="52"/>
      <c r="G178" s="52"/>
    </row>
    <row r="179" spans="1:14" x14ac:dyDescent="0.15">
      <c r="A179" s="70" t="s">
        <v>2</v>
      </c>
      <c r="B179" s="70"/>
      <c r="C179" s="70"/>
      <c r="D179" s="70"/>
      <c r="E179" s="70"/>
      <c r="F179" s="70"/>
      <c r="G179" s="70"/>
    </row>
    <row r="180" spans="1:14" x14ac:dyDescent="0.15">
      <c r="A180" s="52" t="s">
        <v>1</v>
      </c>
      <c r="B180" s="52"/>
      <c r="C180" s="52"/>
      <c r="D180" s="52"/>
      <c r="E180" s="52"/>
      <c r="F180" s="52"/>
      <c r="G180" s="52"/>
    </row>
  </sheetData>
  <mergeCells count="329">
    <mergeCell ref="A170:A171"/>
    <mergeCell ref="B170:C170"/>
    <mergeCell ref="D170:D171"/>
    <mergeCell ref="E170:F171"/>
    <mergeCell ref="G170:G171"/>
    <mergeCell ref="E172:F172"/>
    <mergeCell ref="E173:F173"/>
    <mergeCell ref="E174:F174"/>
    <mergeCell ref="E175:F175"/>
    <mergeCell ref="E169:F169"/>
    <mergeCell ref="E153:F153"/>
    <mergeCell ref="E154:F154"/>
    <mergeCell ref="E155:F155"/>
    <mergeCell ref="E156:F156"/>
    <mergeCell ref="E157:F157"/>
    <mergeCell ref="E159:F159"/>
    <mergeCell ref="E176:F176"/>
    <mergeCell ref="E177:F177"/>
    <mergeCell ref="G150:G151"/>
    <mergeCell ref="E152:F152"/>
    <mergeCell ref="G160:G161"/>
    <mergeCell ref="E162:F162"/>
    <mergeCell ref="E163:F163"/>
    <mergeCell ref="E164:F164"/>
    <mergeCell ref="E165:F165"/>
    <mergeCell ref="E166:F166"/>
    <mergeCell ref="E167:F167"/>
    <mergeCell ref="E142:F142"/>
    <mergeCell ref="E143:F143"/>
    <mergeCell ref="E144:F144"/>
    <mergeCell ref="E145:F145"/>
    <mergeCell ref="E146:F146"/>
    <mergeCell ref="E147:F147"/>
    <mergeCell ref="E149:F149"/>
    <mergeCell ref="E139:F139"/>
    <mergeCell ref="A160:A161"/>
    <mergeCell ref="B160:C160"/>
    <mergeCell ref="D160:D161"/>
    <mergeCell ref="E160:F161"/>
    <mergeCell ref="A150:A151"/>
    <mergeCell ref="B150:C150"/>
    <mergeCell ref="D150:D151"/>
    <mergeCell ref="E150:F151"/>
    <mergeCell ref="E24:F24"/>
    <mergeCell ref="E34:F34"/>
    <mergeCell ref="E35:F35"/>
    <mergeCell ref="G28:G29"/>
    <mergeCell ref="E30:F30"/>
    <mergeCell ref="E31:F31"/>
    <mergeCell ref="E32:F32"/>
    <mergeCell ref="E33:F33"/>
    <mergeCell ref="A140:A141"/>
    <mergeCell ref="B140:C140"/>
    <mergeCell ref="D140:D141"/>
    <mergeCell ref="E140:F141"/>
    <mergeCell ref="A126:A127"/>
    <mergeCell ref="B126:C126"/>
    <mergeCell ref="D126:D127"/>
    <mergeCell ref="E126:F127"/>
    <mergeCell ref="G126:G127"/>
    <mergeCell ref="E130:F130"/>
    <mergeCell ref="E131:F131"/>
    <mergeCell ref="E132:F132"/>
    <mergeCell ref="E133:F133"/>
    <mergeCell ref="E128:F128"/>
    <mergeCell ref="E129:F129"/>
    <mergeCell ref="G140:G141"/>
    <mergeCell ref="E125:F125"/>
    <mergeCell ref="E123:F123"/>
    <mergeCell ref="E81:F81"/>
    <mergeCell ref="E118:F118"/>
    <mergeCell ref="E119:F119"/>
    <mergeCell ref="E120:F120"/>
    <mergeCell ref="E56:F56"/>
    <mergeCell ref="B18:C18"/>
    <mergeCell ref="D18:D19"/>
    <mergeCell ref="E18:F19"/>
    <mergeCell ref="B72:C72"/>
    <mergeCell ref="D72:D73"/>
    <mergeCell ref="E72:F73"/>
    <mergeCell ref="B96:C96"/>
    <mergeCell ref="D96:D97"/>
    <mergeCell ref="E96:F97"/>
    <mergeCell ref="E85:F85"/>
    <mergeCell ref="E86:F86"/>
    <mergeCell ref="E87:F87"/>
    <mergeCell ref="E88:F88"/>
    <mergeCell ref="E89:F89"/>
    <mergeCell ref="E95:F95"/>
    <mergeCell ref="E121:F121"/>
    <mergeCell ref="E23:F23"/>
    <mergeCell ref="G18:G19"/>
    <mergeCell ref="E21:F21"/>
    <mergeCell ref="F1:G1"/>
    <mergeCell ref="G8:G9"/>
    <mergeCell ref="E8:F9"/>
    <mergeCell ref="E10:F10"/>
    <mergeCell ref="E11:F11"/>
    <mergeCell ref="A178:G178"/>
    <mergeCell ref="A179:G179"/>
    <mergeCell ref="E52:F53"/>
    <mergeCell ref="G52:G53"/>
    <mergeCell ref="E54:F54"/>
    <mergeCell ref="A38:A39"/>
    <mergeCell ref="B38:C38"/>
    <mergeCell ref="D38:D39"/>
    <mergeCell ref="E38:F39"/>
    <mergeCell ref="G38:G39"/>
    <mergeCell ref="E43:F43"/>
    <mergeCell ref="E44:F44"/>
    <mergeCell ref="E40:F40"/>
    <mergeCell ref="E41:F41"/>
    <mergeCell ref="E42:F42"/>
    <mergeCell ref="E45:F45"/>
    <mergeCell ref="A72:A73"/>
    <mergeCell ref="A180:G180"/>
    <mergeCell ref="A3:G3"/>
    <mergeCell ref="A4:G4"/>
    <mergeCell ref="A8:A9"/>
    <mergeCell ref="B8:C8"/>
    <mergeCell ref="D8:D9"/>
    <mergeCell ref="E14:F14"/>
    <mergeCell ref="E15:F15"/>
    <mergeCell ref="E12:F12"/>
    <mergeCell ref="E13:F13"/>
    <mergeCell ref="E7:F7"/>
    <mergeCell ref="E20:F20"/>
    <mergeCell ref="E22:F22"/>
    <mergeCell ref="E17:F17"/>
    <mergeCell ref="E27:F27"/>
    <mergeCell ref="A28:A29"/>
    <mergeCell ref="B28:C28"/>
    <mergeCell ref="D28:D29"/>
    <mergeCell ref="E28:F29"/>
    <mergeCell ref="E25:F25"/>
    <mergeCell ref="A18:A19"/>
    <mergeCell ref="A52:A53"/>
    <mergeCell ref="B52:C52"/>
    <mergeCell ref="D52:D53"/>
    <mergeCell ref="G62:G63"/>
    <mergeCell ref="E67:F67"/>
    <mergeCell ref="E68:F68"/>
    <mergeCell ref="E64:F64"/>
    <mergeCell ref="E65:F65"/>
    <mergeCell ref="E66:F66"/>
    <mergeCell ref="E69:F69"/>
    <mergeCell ref="A62:A63"/>
    <mergeCell ref="B62:C62"/>
    <mergeCell ref="D62:D63"/>
    <mergeCell ref="E62:F63"/>
    <mergeCell ref="J62:J63"/>
    <mergeCell ref="K62:K63"/>
    <mergeCell ref="A116:A117"/>
    <mergeCell ref="B116:C116"/>
    <mergeCell ref="D116:D117"/>
    <mergeCell ref="E116:F117"/>
    <mergeCell ref="G116:G117"/>
    <mergeCell ref="A106:A107"/>
    <mergeCell ref="B106:C106"/>
    <mergeCell ref="D106:D107"/>
    <mergeCell ref="E106:F107"/>
    <mergeCell ref="G106:G107"/>
    <mergeCell ref="E110:F110"/>
    <mergeCell ref="E112:F112"/>
    <mergeCell ref="E113:F113"/>
    <mergeCell ref="E108:F108"/>
    <mergeCell ref="E109:F109"/>
    <mergeCell ref="E111:F111"/>
    <mergeCell ref="E115:F115"/>
    <mergeCell ref="A82:A83"/>
    <mergeCell ref="B82:C82"/>
    <mergeCell ref="D82:D83"/>
    <mergeCell ref="E82:F83"/>
    <mergeCell ref="A96:A97"/>
    <mergeCell ref="M40:M45"/>
    <mergeCell ref="J52:J53"/>
    <mergeCell ref="K52:K53"/>
    <mergeCell ref="L52:L53"/>
    <mergeCell ref="M52:M53"/>
    <mergeCell ref="K30:K35"/>
    <mergeCell ref="E61:F61"/>
    <mergeCell ref="E55:F55"/>
    <mergeCell ref="E51:F51"/>
    <mergeCell ref="K54:K59"/>
    <mergeCell ref="M54:M59"/>
    <mergeCell ref="E57:F57"/>
    <mergeCell ref="E58:F58"/>
    <mergeCell ref="E59:F59"/>
    <mergeCell ref="E37:F37"/>
    <mergeCell ref="G72:G73"/>
    <mergeCell ref="E78:F78"/>
    <mergeCell ref="E84:F84"/>
    <mergeCell ref="G82:G83"/>
    <mergeCell ref="E71:F71"/>
    <mergeCell ref="E76:F76"/>
    <mergeCell ref="E77:F77"/>
    <mergeCell ref="E79:F79"/>
    <mergeCell ref="E74:F74"/>
    <mergeCell ref="E75:F75"/>
    <mergeCell ref="E122:F122"/>
    <mergeCell ref="G96:G97"/>
    <mergeCell ref="E102:F102"/>
    <mergeCell ref="E103:F103"/>
    <mergeCell ref="E105:F105"/>
    <mergeCell ref="E100:F100"/>
    <mergeCell ref="E101:F101"/>
    <mergeCell ref="E98:F98"/>
    <mergeCell ref="E99:F99"/>
    <mergeCell ref="M64:M69"/>
    <mergeCell ref="J72:J73"/>
    <mergeCell ref="K72:K73"/>
    <mergeCell ref="L72:L73"/>
    <mergeCell ref="M72:M73"/>
    <mergeCell ref="K74:K79"/>
    <mergeCell ref="M74:M79"/>
    <mergeCell ref="I3:M3"/>
    <mergeCell ref="J82:J83"/>
    <mergeCell ref="K82:K83"/>
    <mergeCell ref="L82:L83"/>
    <mergeCell ref="M82:M83"/>
    <mergeCell ref="K28:K29"/>
    <mergeCell ref="J28:J29"/>
    <mergeCell ref="M20:M25"/>
    <mergeCell ref="K20:K25"/>
    <mergeCell ref="K64:K69"/>
    <mergeCell ref="I4:M4"/>
    <mergeCell ref="M30:M35"/>
    <mergeCell ref="J38:J39"/>
    <mergeCell ref="K38:K39"/>
    <mergeCell ref="L38:L39"/>
    <mergeCell ref="M38:M39"/>
    <mergeCell ref="K40:K45"/>
    <mergeCell ref="M84:M89"/>
    <mergeCell ref="J96:J97"/>
    <mergeCell ref="K96:K97"/>
    <mergeCell ref="L96:L97"/>
    <mergeCell ref="M96:M97"/>
    <mergeCell ref="K98:K103"/>
    <mergeCell ref="M98:M103"/>
    <mergeCell ref="J106:J107"/>
    <mergeCell ref="K106:K107"/>
    <mergeCell ref="L106:L107"/>
    <mergeCell ref="M106:M107"/>
    <mergeCell ref="K84:K89"/>
    <mergeCell ref="K108:K113"/>
    <mergeCell ref="M108:M113"/>
    <mergeCell ref="J116:J117"/>
    <mergeCell ref="K116:K117"/>
    <mergeCell ref="L116:L117"/>
    <mergeCell ref="M116:M117"/>
    <mergeCell ref="K118:K123"/>
    <mergeCell ref="M118:M123"/>
    <mergeCell ref="J126:J127"/>
    <mergeCell ref="K126:K127"/>
    <mergeCell ref="L126:L127"/>
    <mergeCell ref="M126:M127"/>
    <mergeCell ref="K128:K133"/>
    <mergeCell ref="M128:M133"/>
    <mergeCell ref="J140:J141"/>
    <mergeCell ref="K140:K141"/>
    <mergeCell ref="L140:L141"/>
    <mergeCell ref="M140:M141"/>
    <mergeCell ref="K142:K147"/>
    <mergeCell ref="M142:M147"/>
    <mergeCell ref="J150:J151"/>
    <mergeCell ref="K150:K151"/>
    <mergeCell ref="L150:L151"/>
    <mergeCell ref="M150:M151"/>
    <mergeCell ref="J170:J171"/>
    <mergeCell ref="K170:K171"/>
    <mergeCell ref="L170:L171"/>
    <mergeCell ref="M170:M171"/>
    <mergeCell ref="K172:K177"/>
    <mergeCell ref="M172:M177"/>
    <mergeCell ref="K152:K157"/>
    <mergeCell ref="M152:M157"/>
    <mergeCell ref="J160:J161"/>
    <mergeCell ref="K160:K161"/>
    <mergeCell ref="L160:L161"/>
    <mergeCell ref="M160:M161"/>
    <mergeCell ref="K162:K167"/>
    <mergeCell ref="M162:M167"/>
    <mergeCell ref="N18:N19"/>
    <mergeCell ref="N20:N25"/>
    <mergeCell ref="N28:N29"/>
    <mergeCell ref="M8:M9"/>
    <mergeCell ref="L8:L9"/>
    <mergeCell ref="K8:K9"/>
    <mergeCell ref="J8:J9"/>
    <mergeCell ref="M18:M19"/>
    <mergeCell ref="L18:L19"/>
    <mergeCell ref="K18:K19"/>
    <mergeCell ref="J18:J19"/>
    <mergeCell ref="M10:M15"/>
    <mergeCell ref="K10:K15"/>
    <mergeCell ref="N172:N177"/>
    <mergeCell ref="N82:N83"/>
    <mergeCell ref="N84:N89"/>
    <mergeCell ref="N96:N97"/>
    <mergeCell ref="N98:N103"/>
    <mergeCell ref="N106:N107"/>
    <mergeCell ref="N108:N113"/>
    <mergeCell ref="N116:N117"/>
    <mergeCell ref="N118:N123"/>
    <mergeCell ref="N126:N127"/>
    <mergeCell ref="L1:L2"/>
    <mergeCell ref="N128:N133"/>
    <mergeCell ref="N140:N141"/>
    <mergeCell ref="N142:N147"/>
    <mergeCell ref="N150:N151"/>
    <mergeCell ref="N152:N157"/>
    <mergeCell ref="N160:N161"/>
    <mergeCell ref="N162:N167"/>
    <mergeCell ref="N170:N171"/>
    <mergeCell ref="N30:N35"/>
    <mergeCell ref="N38:N39"/>
    <mergeCell ref="N40:N45"/>
    <mergeCell ref="N52:N53"/>
    <mergeCell ref="N54:N59"/>
    <mergeCell ref="N62:N63"/>
    <mergeCell ref="N64:N69"/>
    <mergeCell ref="N72:N73"/>
    <mergeCell ref="N74:N79"/>
    <mergeCell ref="M28:M29"/>
    <mergeCell ref="L28:L29"/>
    <mergeCell ref="L62:L63"/>
    <mergeCell ref="M62:M63"/>
    <mergeCell ref="N8:N9"/>
    <mergeCell ref="N10:N15"/>
  </mergeCells>
  <phoneticPr fontId="8" type="noConversion"/>
  <conditionalFormatting sqref="J10:J15">
    <cfRule type="cellIs" dxfId="65" priority="589" operator="lessThan">
      <formula>$J$6/100</formula>
    </cfRule>
    <cfRule type="cellIs" dxfId="64" priority="590" operator="greaterThanOrEqual">
      <formula>$J$6/100</formula>
    </cfRule>
  </conditionalFormatting>
  <conditionalFormatting sqref="M2:N2">
    <cfRule type="cellIs" dxfId="63" priority="401" operator="lessThan">
      <formula>0.0005</formula>
    </cfRule>
    <cfRule type="cellIs" dxfId="62" priority="402" operator="greaterThanOrEqual">
      <formula>0.0005</formula>
    </cfRule>
  </conditionalFormatting>
  <conditionalFormatting sqref="K10:M10 L11:L15">
    <cfRule type="cellIs" dxfId="61" priority="61" operator="lessThan">
      <formula>$J$6/100</formula>
    </cfRule>
    <cfRule type="cellIs" dxfId="60" priority="62" operator="greaterThanOrEqual">
      <formula>$J$6/100</formula>
    </cfRule>
  </conditionalFormatting>
  <conditionalFormatting sqref="J20:J25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K20:M20 L21:L25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30:J35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K30:M30 L31:L35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40:J45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K40:M40 L41:L45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54:J59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K54:M54 L55:L59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64:J69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K64:M64 L65:L69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74:J79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K74:M74 L75:L79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84:J89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K84:M84 L85:L89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98:J103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K98:M98 L99:L103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108:J113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K108:M108 L109:L113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118:J123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K118:M118 L119:L123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128:J133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K128:M128 L129:L133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142:J147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K142:M142 L143:L147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152:J157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K152:M152 L153:L157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162:J167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K162:M162 L163:L167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172:J177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K172:M172 L173:L177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</vt:lpstr>
      <vt:lpstr>'Calibration result'!Print_Titles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2024-04-23T06:31:11Z</cp:lastPrinted>
  <dcterms:created xsi:type="dcterms:W3CDTF">2022-12-06T12:02:00Z</dcterms:created>
  <dcterms:modified xsi:type="dcterms:W3CDTF">2024-05-24T02:18:01Z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