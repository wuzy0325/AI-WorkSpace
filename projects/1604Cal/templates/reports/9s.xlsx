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校准结果!$K$5</definedName>
    <definedName name="量程最大值">校准结果!$K$6</definedName>
    <definedName name="量程最小值">校准结果!$I$6</definedName>
    <definedName name="通道1">校准结果!$A$10</definedName>
    <definedName name="通道10">校准结果!$A$140</definedName>
    <definedName name="通道11">校准结果!$A$154</definedName>
    <definedName name="通道12">校准结果!$A$168</definedName>
    <definedName name="通道13">校准结果!$A$184</definedName>
    <definedName name="通道14">校准结果!$A$198</definedName>
    <definedName name="通道15">校准结果!$A$212</definedName>
    <definedName name="通道16">校准结果!$A$228</definedName>
    <definedName name="通道2">校准结果!$A$24</definedName>
    <definedName name="通道3">校准结果!$A$38</definedName>
    <definedName name="通道4">校准结果!$A$53</definedName>
    <definedName name="通道5">校准结果!$A$67</definedName>
    <definedName name="通道6">校准结果!$A$81</definedName>
    <definedName name="通道7">校准结果!$A$96</definedName>
    <definedName name="通道8">校准结果!$A$110</definedName>
    <definedName name="通道9">校准结果!$A$124</definedName>
    <definedName name="校准日期">校准结果!$I$5</definedName>
    <definedName name="准确度等级">校准结果!$G$6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6" i="16" l="1"/>
  <c r="F236" i="16"/>
  <c r="G235" i="16"/>
  <c r="F235" i="16"/>
  <c r="G234" i="16"/>
  <c r="F234" i="16"/>
  <c r="G233" i="16"/>
  <c r="F233" i="16"/>
  <c r="G232" i="16"/>
  <c r="F232" i="16"/>
  <c r="G231" i="16"/>
  <c r="F231" i="16"/>
  <c r="G230" i="16"/>
  <c r="F230" i="16"/>
  <c r="G229" i="16"/>
  <c r="H228" i="16" s="1"/>
  <c r="F229" i="16"/>
  <c r="G228" i="16"/>
  <c r="F228" i="16"/>
  <c r="F227" i="16"/>
  <c r="G225" i="16"/>
  <c r="G220" i="16"/>
  <c r="F220" i="16"/>
  <c r="G219" i="16"/>
  <c r="F219" i="16"/>
  <c r="G218" i="16"/>
  <c r="F218" i="16"/>
  <c r="G217" i="16"/>
  <c r="F217" i="16"/>
  <c r="G216" i="16"/>
  <c r="F216" i="16"/>
  <c r="G215" i="16"/>
  <c r="F215" i="16"/>
  <c r="G214" i="16"/>
  <c r="F214" i="16"/>
  <c r="G213" i="16"/>
  <c r="F213" i="16"/>
  <c r="G212" i="16"/>
  <c r="H212" i="16" s="1"/>
  <c r="F212" i="16"/>
  <c r="F211" i="16"/>
  <c r="G209" i="16"/>
  <c r="G206" i="16"/>
  <c r="F206" i="16"/>
  <c r="G205" i="16"/>
  <c r="F205" i="16"/>
  <c r="G204" i="16"/>
  <c r="F204" i="16"/>
  <c r="G203" i="16"/>
  <c r="F203" i="16"/>
  <c r="G202" i="16"/>
  <c r="F202" i="16"/>
  <c r="G201" i="16"/>
  <c r="F201" i="16"/>
  <c r="G200" i="16"/>
  <c r="H198" i="16" s="1"/>
  <c r="F200" i="16"/>
  <c r="G199" i="16"/>
  <c r="F199" i="16"/>
  <c r="G198" i="16"/>
  <c r="F198" i="16"/>
  <c r="F197" i="16"/>
  <c r="G195" i="16"/>
  <c r="G192" i="16"/>
  <c r="F192" i="16"/>
  <c r="G191" i="16"/>
  <c r="F191" i="16"/>
  <c r="G190" i="16"/>
  <c r="F190" i="16"/>
  <c r="G189" i="16"/>
  <c r="F189" i="16"/>
  <c r="G188" i="16"/>
  <c r="F188" i="16"/>
  <c r="G187" i="16"/>
  <c r="F187" i="16"/>
  <c r="G186" i="16"/>
  <c r="F186" i="16"/>
  <c r="G185" i="16"/>
  <c r="H184" i="16" s="1"/>
  <c r="F185" i="16"/>
  <c r="G184" i="16"/>
  <c r="F184" i="16"/>
  <c r="F183" i="16"/>
  <c r="G181" i="16"/>
  <c r="G176" i="16"/>
  <c r="F176" i="16"/>
  <c r="G175" i="16"/>
  <c r="F175" i="16"/>
  <c r="G174" i="16"/>
  <c r="F174" i="16"/>
  <c r="G173" i="16"/>
  <c r="F173" i="16"/>
  <c r="G172" i="16"/>
  <c r="F172" i="16"/>
  <c r="G171" i="16"/>
  <c r="F171" i="16"/>
  <c r="G170" i="16"/>
  <c r="F170" i="16"/>
  <c r="G169" i="16"/>
  <c r="F169" i="16"/>
  <c r="G168" i="16"/>
  <c r="H168" i="16" s="1"/>
  <c r="F168" i="16"/>
  <c r="F167" i="16"/>
  <c r="G165" i="16"/>
  <c r="G162" i="16"/>
  <c r="F162" i="16"/>
  <c r="G161" i="16"/>
  <c r="F161" i="16"/>
  <c r="G160" i="16"/>
  <c r="F160" i="16"/>
  <c r="G159" i="16"/>
  <c r="F159" i="16"/>
  <c r="G158" i="16"/>
  <c r="F158" i="16"/>
  <c r="G157" i="16"/>
  <c r="F157" i="16"/>
  <c r="G156" i="16"/>
  <c r="F156" i="16"/>
  <c r="G155" i="16"/>
  <c r="H154" i="16" s="1"/>
  <c r="F155" i="16"/>
  <c r="G154" i="16"/>
  <c r="F154" i="16"/>
  <c r="F153" i="16"/>
  <c r="G151" i="16"/>
  <c r="G148" i="16"/>
  <c r="F148" i="16"/>
  <c r="G147" i="16"/>
  <c r="F147" i="16"/>
  <c r="G146" i="16"/>
  <c r="F146" i="16"/>
  <c r="G145" i="16"/>
  <c r="F145" i="16"/>
  <c r="G144" i="16"/>
  <c r="F144" i="16"/>
  <c r="G143" i="16"/>
  <c r="F143" i="16"/>
  <c r="G142" i="16"/>
  <c r="F142" i="16"/>
  <c r="G141" i="16"/>
  <c r="H140" i="16" s="1"/>
  <c r="F141" i="16"/>
  <c r="G140" i="16"/>
  <c r="F140" i="16"/>
  <c r="F139" i="16"/>
  <c r="G137" i="16"/>
  <c r="G132" i="16"/>
  <c r="F132" i="16"/>
  <c r="G131" i="16"/>
  <c r="F131" i="16"/>
  <c r="G130" i="16"/>
  <c r="F130" i="16"/>
  <c r="G129" i="16"/>
  <c r="F129" i="16"/>
  <c r="G128" i="16"/>
  <c r="F128" i="16"/>
  <c r="G127" i="16"/>
  <c r="F127" i="16"/>
  <c r="G126" i="16"/>
  <c r="F126" i="16"/>
  <c r="G125" i="16"/>
  <c r="H124" i="16" s="1"/>
  <c r="F125" i="16"/>
  <c r="G124" i="16"/>
  <c r="F124" i="16"/>
  <c r="F123" i="16"/>
  <c r="G121" i="16"/>
  <c r="G118" i="16"/>
  <c r="F118" i="16"/>
  <c r="G117" i="16"/>
  <c r="F117" i="16"/>
  <c r="G116" i="16"/>
  <c r="F116" i="16"/>
  <c r="G115" i="16"/>
  <c r="F115" i="16"/>
  <c r="G114" i="16"/>
  <c r="F114" i="16"/>
  <c r="G113" i="16"/>
  <c r="F113" i="16"/>
  <c r="G112" i="16"/>
  <c r="F112" i="16"/>
  <c r="G111" i="16"/>
  <c r="F111" i="16"/>
  <c r="H110" i="16"/>
  <c r="G110" i="16"/>
  <c r="F110" i="16"/>
  <c r="F109" i="16"/>
  <c r="G107" i="16"/>
  <c r="G104" i="16"/>
  <c r="F104" i="16"/>
  <c r="G103" i="16"/>
  <c r="F103" i="16"/>
  <c r="G102" i="16"/>
  <c r="F102" i="16"/>
  <c r="G101" i="16"/>
  <c r="F101" i="16"/>
  <c r="G100" i="16"/>
  <c r="F100" i="16"/>
  <c r="G99" i="16"/>
  <c r="F99" i="16"/>
  <c r="G98" i="16"/>
  <c r="F98" i="16"/>
  <c r="G97" i="16"/>
  <c r="H96" i="16" s="1"/>
  <c r="F97" i="16"/>
  <c r="G96" i="16"/>
  <c r="F96" i="16"/>
  <c r="F95" i="16"/>
  <c r="G93" i="16"/>
  <c r="G89" i="16"/>
  <c r="F89" i="16"/>
  <c r="G88" i="16"/>
  <c r="F88" i="16"/>
  <c r="G87" i="16"/>
  <c r="F87" i="16"/>
  <c r="G86" i="16"/>
  <c r="F86" i="16"/>
  <c r="G85" i="16"/>
  <c r="F85" i="16"/>
  <c r="G84" i="16"/>
  <c r="F84" i="16"/>
  <c r="G83" i="16"/>
  <c r="F83" i="16"/>
  <c r="G82" i="16"/>
  <c r="H81" i="16" s="1"/>
  <c r="F82" i="16"/>
  <c r="G81" i="16"/>
  <c r="F81" i="16"/>
  <c r="F80" i="16"/>
  <c r="G78" i="16"/>
  <c r="G75" i="16"/>
  <c r="F75" i="16"/>
  <c r="G74" i="16"/>
  <c r="F74" i="16"/>
  <c r="G73" i="16"/>
  <c r="F73" i="16"/>
  <c r="G72" i="16"/>
  <c r="F72" i="16"/>
  <c r="G71" i="16"/>
  <c r="F71" i="16"/>
  <c r="G70" i="16"/>
  <c r="F70" i="16"/>
  <c r="G69" i="16"/>
  <c r="F69" i="16"/>
  <c r="G68" i="16"/>
  <c r="F68" i="16"/>
  <c r="H67" i="16"/>
  <c r="G67" i="16"/>
  <c r="F67" i="16"/>
  <c r="F66" i="16"/>
  <c r="G64" i="16"/>
  <c r="G61" i="16"/>
  <c r="F61" i="16"/>
  <c r="G60" i="16"/>
  <c r="F60" i="16"/>
  <c r="G59" i="16"/>
  <c r="F59" i="16"/>
  <c r="G58" i="16"/>
  <c r="F58" i="16"/>
  <c r="G57" i="16"/>
  <c r="F57" i="16"/>
  <c r="G56" i="16"/>
  <c r="F56" i="16"/>
  <c r="G55" i="16"/>
  <c r="F55" i="16"/>
  <c r="G54" i="16"/>
  <c r="F54" i="16"/>
  <c r="H53" i="16"/>
  <c r="G53" i="16"/>
  <c r="F53" i="16"/>
  <c r="F52" i="16"/>
  <c r="G50" i="16"/>
  <c r="G46" i="16"/>
  <c r="F46" i="16"/>
  <c r="G45" i="16"/>
  <c r="F45" i="16"/>
  <c r="G44" i="16"/>
  <c r="F44" i="16"/>
  <c r="G43" i="16"/>
  <c r="F43" i="16"/>
  <c r="G42" i="16"/>
  <c r="F42" i="16"/>
  <c r="G41" i="16"/>
  <c r="F41" i="16"/>
  <c r="G40" i="16"/>
  <c r="F40" i="16"/>
  <c r="G39" i="16"/>
  <c r="F39" i="16"/>
  <c r="G38" i="16"/>
  <c r="H38" i="16" s="1"/>
  <c r="F38" i="16"/>
  <c r="F37" i="16"/>
  <c r="G35" i="16"/>
  <c r="G32" i="16"/>
  <c r="F32" i="16"/>
  <c r="G31" i="16"/>
  <c r="F31" i="16"/>
  <c r="G30" i="16"/>
  <c r="F30" i="16"/>
  <c r="G29" i="16"/>
  <c r="F29" i="16"/>
  <c r="G28" i="16"/>
  <c r="F28" i="16"/>
  <c r="G27" i="16"/>
  <c r="F27" i="16"/>
  <c r="G26" i="16"/>
  <c r="F26" i="16"/>
  <c r="G25" i="16"/>
  <c r="F25" i="16"/>
  <c r="G24" i="16"/>
  <c r="H24" i="16" s="1"/>
  <c r="F24" i="16"/>
  <c r="F23" i="16"/>
  <c r="G21" i="16"/>
  <c r="D225" i="16"/>
  <c r="D209" i="16"/>
  <c r="D195" i="16"/>
  <c r="D181" i="16"/>
  <c r="D165" i="16"/>
  <c r="D151" i="16"/>
  <c r="D137" i="16"/>
  <c r="D121" i="16"/>
  <c r="D107" i="16"/>
  <c r="D93" i="16"/>
  <c r="D78" i="16"/>
  <c r="D64" i="16"/>
  <c r="D50" i="16"/>
  <c r="D35" i="16"/>
  <c r="D21" i="16"/>
  <c r="D7" i="16"/>
  <c r="C236" i="16" l="1"/>
  <c r="C235" i="16"/>
  <c r="C234" i="16"/>
  <c r="C233" i="16"/>
  <c r="C232" i="16"/>
  <c r="C231" i="16"/>
  <c r="C230" i="16"/>
  <c r="C229" i="16"/>
  <c r="C228" i="16"/>
  <c r="C220" i="16"/>
  <c r="C219" i="16"/>
  <c r="C218" i="16"/>
  <c r="C217" i="16"/>
  <c r="C216" i="16"/>
  <c r="C215" i="16"/>
  <c r="C214" i="16"/>
  <c r="C213" i="16"/>
  <c r="C212" i="16"/>
  <c r="C206" i="16"/>
  <c r="C205" i="16"/>
  <c r="C204" i="16"/>
  <c r="C203" i="16"/>
  <c r="C202" i="16"/>
  <c r="C201" i="16"/>
  <c r="C200" i="16"/>
  <c r="C199" i="16"/>
  <c r="C198" i="16"/>
  <c r="C192" i="16"/>
  <c r="C191" i="16"/>
  <c r="C190" i="16"/>
  <c r="C189" i="16"/>
  <c r="C188" i="16"/>
  <c r="C187" i="16"/>
  <c r="C186" i="16"/>
  <c r="C185" i="16"/>
  <c r="C184" i="16"/>
  <c r="C176" i="16"/>
  <c r="C175" i="16"/>
  <c r="C174" i="16"/>
  <c r="C173" i="16"/>
  <c r="C172" i="16"/>
  <c r="C171" i="16"/>
  <c r="C170" i="16"/>
  <c r="C169" i="16"/>
  <c r="C168" i="16"/>
  <c r="C162" i="16"/>
  <c r="C161" i="16"/>
  <c r="C160" i="16"/>
  <c r="C159" i="16"/>
  <c r="C158" i="16"/>
  <c r="C157" i="16"/>
  <c r="C156" i="16"/>
  <c r="C155" i="16"/>
  <c r="C154" i="16"/>
  <c r="C148" i="16"/>
  <c r="C147" i="16"/>
  <c r="C146" i="16"/>
  <c r="C145" i="16"/>
  <c r="C144" i="16"/>
  <c r="C143" i="16"/>
  <c r="C142" i="16"/>
  <c r="C141" i="16"/>
  <c r="C140" i="16"/>
  <c r="C132" i="16"/>
  <c r="C131" i="16"/>
  <c r="C130" i="16"/>
  <c r="C129" i="16"/>
  <c r="C128" i="16"/>
  <c r="C127" i="16"/>
  <c r="C126" i="16"/>
  <c r="C125" i="16"/>
  <c r="C124" i="16"/>
  <c r="C118" i="16"/>
  <c r="C117" i="16"/>
  <c r="C116" i="16"/>
  <c r="C115" i="16"/>
  <c r="C114" i="16"/>
  <c r="C113" i="16"/>
  <c r="C112" i="16"/>
  <c r="C111" i="16"/>
  <c r="C110" i="16"/>
  <c r="C104" i="16"/>
  <c r="C103" i="16"/>
  <c r="C102" i="16"/>
  <c r="C101" i="16"/>
  <c r="C100" i="16"/>
  <c r="C99" i="16"/>
  <c r="C98" i="16"/>
  <c r="C97" i="16"/>
  <c r="C96" i="16"/>
  <c r="C89" i="16"/>
  <c r="C88" i="16"/>
  <c r="C87" i="16"/>
  <c r="C86" i="16"/>
  <c r="C85" i="16"/>
  <c r="C84" i="16"/>
  <c r="C83" i="16"/>
  <c r="C82" i="16"/>
  <c r="C81" i="16"/>
  <c r="C75" i="16"/>
  <c r="C74" i="16"/>
  <c r="C73" i="16"/>
  <c r="C72" i="16"/>
  <c r="C71" i="16"/>
  <c r="C70" i="16"/>
  <c r="C69" i="16"/>
  <c r="C68" i="16"/>
  <c r="C67" i="16"/>
  <c r="C61" i="16"/>
  <c r="C60" i="16"/>
  <c r="C59" i="16"/>
  <c r="C58" i="16"/>
  <c r="C57" i="16"/>
  <c r="C56" i="16"/>
  <c r="C55" i="16"/>
  <c r="C54" i="16"/>
  <c r="C53" i="16"/>
  <c r="C46" i="16"/>
  <c r="C45" i="16"/>
  <c r="C44" i="16"/>
  <c r="C43" i="16"/>
  <c r="C42" i="16"/>
  <c r="C41" i="16"/>
  <c r="C40" i="16"/>
  <c r="C39" i="16"/>
  <c r="C38" i="16"/>
  <c r="C32" i="16"/>
  <c r="C31" i="16"/>
  <c r="C30" i="16"/>
  <c r="C29" i="16"/>
  <c r="C28" i="16"/>
  <c r="C27" i="16"/>
  <c r="C26" i="16"/>
  <c r="C25" i="16"/>
  <c r="C24" i="16"/>
  <c r="C11" i="16"/>
  <c r="C12" i="16"/>
  <c r="C13" i="16"/>
  <c r="C14" i="16"/>
  <c r="C15" i="16"/>
  <c r="C16" i="16"/>
  <c r="C17" i="16"/>
  <c r="C18" i="16"/>
  <c r="C10" i="16"/>
  <c r="F9" i="16"/>
  <c r="F11" i="16" l="1"/>
  <c r="F12" i="16"/>
  <c r="F13" i="16"/>
  <c r="F14" i="16"/>
  <c r="F15" i="16"/>
  <c r="F16" i="16"/>
  <c r="F17" i="16"/>
  <c r="F18" i="16"/>
  <c r="F10" i="16"/>
  <c r="G7" i="16"/>
  <c r="G18" i="16" l="1"/>
  <c r="G17" i="16"/>
  <c r="G16" i="16"/>
  <c r="G15" i="16"/>
  <c r="G14" i="16"/>
  <c r="G13" i="16"/>
  <c r="G12" i="16"/>
  <c r="G11" i="16"/>
  <c r="G10" i="16"/>
  <c r="H10" i="16" l="1"/>
</calcChain>
</file>

<file path=xl/sharedStrings.xml><?xml version="1.0" encoding="utf-8"?>
<sst xmlns="http://schemas.openxmlformats.org/spreadsheetml/2006/main" count="210" uniqueCount="42">
  <si>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</si>
  <si>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</si>
  <si>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</si>
  <si>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</si>
  <si>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</si>
  <si>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</si>
  <si>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</si>
  <si>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</si>
  <si>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</si>
  <si>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</si>
  <si>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</si>
  <si>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</si>
  <si>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</si>
  <si>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</si>
  <si>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</si>
  <si>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</si>
  <si>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</si>
  <si>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</si>
  <si>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</si>
  <si>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</si>
  <si>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</si>
  <si>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</si>
  <si>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</si>
  <si>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</si>
  <si>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</si>
  <si>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证书编号：</t>
    <phoneticPr fontId="7" type="noConversion"/>
  </si>
  <si>
    <t>Certificate No.</t>
    <phoneticPr fontId="7" type="noConversion"/>
  </si>
  <si>
    <t>Standard pressure</t>
  </si>
  <si>
    <t>Channel number：</t>
  </si>
  <si>
    <t>Unit：</t>
  </si>
  <si>
    <t>Indication error</t>
  </si>
  <si>
    <t>Equipment Number：</t>
  </si>
  <si>
    <t>Calibration Date：</t>
  </si>
  <si>
    <t>Accuracy</t>
  </si>
  <si>
    <t>Unit：</t>
    <phoneticPr fontId="7" type="noConversion"/>
  </si>
  <si>
    <t>Min(Range)</t>
    <phoneticPr fontId="7" type="noConversion"/>
  </si>
  <si>
    <t>Max(Range)</t>
    <phoneticPr fontId="7" type="noConversion"/>
  </si>
  <si>
    <t>Notes</t>
  </si>
  <si>
    <t>丨Indication error丨
/FS</t>
  </si>
  <si>
    <t>Example</t>
    <phoneticPr fontId="7" type="noConversion"/>
  </si>
  <si>
    <t>Unqualified</t>
    <phoneticPr fontId="7" type="noConversion"/>
  </si>
  <si>
    <t>Qualified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</si>
</sst>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6" fontId="10" fillId="0" borderId="6" xfId="2" applyNumberFormat="1" applyFont="1" applyBorder="1" applyAlignment="1" applyProtection="1">
      <alignment horizontal="center" vertical="center" wrapText="1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5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4" fillId="0" borderId="4" xfId="2" applyFont="1" applyBorder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242</xdr:row>
      <xdr:rowOff>180975</xdr:rowOff>
    </xdr:from>
    <xdr:to>
      <xdr:col>2</xdr:col>
      <xdr:colOff>885825</xdr:colOff>
      <xdr:row>243</xdr:row>
      <xdr:rowOff>9525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 flipV="1">
          <a:off x="2371725" y="46501050"/>
          <a:ext cx="17335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"/>
  <sheetViews>
    <sheetView tabSelected="1" topLeftCell="B1" workbookViewId="0">
      <selection activeCell="K1" sqref="K1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25</v>
      </c>
      <c r="D1" s="18"/>
      <c r="I1" s="53" t="s">
        <v>39</v>
      </c>
      <c r="J1" s="15" t="s">
        <v>40</v>
      </c>
      <c r="K1" s="15" t="s">
        <v>41</v>
      </c>
    </row>
    <row r="2" spans="1:12" ht="15" customHeight="1" x14ac:dyDescent="0.15">
      <c r="C2" s="24" t="s">
        <v>26</v>
      </c>
      <c r="I2" s="54"/>
      <c r="J2" s="10">
        <v>5.4000000000000001E-4</v>
      </c>
      <c r="K2" s="10">
        <v>1E-4</v>
      </c>
    </row>
    <row r="3" spans="1:12" ht="23.1" customHeight="1" x14ac:dyDescent="0.15">
      <c r="A3" s="49" t="s">
        <v>20</v>
      </c>
      <c r="B3" s="50"/>
      <c r="C3" s="50"/>
      <c r="D3" s="50"/>
      <c r="F3" s="49" t="s">
        <v>21</v>
      </c>
      <c r="G3" s="49"/>
      <c r="H3" s="49"/>
      <c r="I3" s="49"/>
      <c r="J3" s="49"/>
      <c r="K3" s="11"/>
      <c r="L3" s="11"/>
    </row>
    <row r="4" spans="1:12" ht="11.1" customHeight="1" x14ac:dyDescent="0.15">
      <c r="A4" s="51" t="s">
        <v>0</v>
      </c>
      <c r="B4" s="51"/>
      <c r="C4" s="51"/>
      <c r="D4" s="51"/>
      <c r="F4" s="47" t="s">
        <v>24</v>
      </c>
      <c r="G4" s="47"/>
      <c r="H4" s="47"/>
      <c r="I4" s="47"/>
      <c r="J4" s="47"/>
    </row>
    <row r="5" spans="1:12" ht="34.5" customHeight="1" x14ac:dyDescent="0.15">
      <c r="A5" s="2"/>
      <c r="B5" s="2"/>
      <c r="C5" s="2"/>
      <c r="D5" s="2"/>
      <c r="F5" s="19" t="s">
        <v>31</v>
      </c>
      <c r="G5" s="17"/>
      <c r="H5" s="19" t="s">
        <v>32</v>
      </c>
      <c r="I5" s="16"/>
      <c r="J5" s="19" t="s">
        <v>34</v>
      </c>
      <c r="K5" s="17" t="s">
        <v>23</v>
      </c>
    </row>
    <row r="6" spans="1:12" s="4" customFormat="1" ht="15" customHeight="1" x14ac:dyDescent="0.15">
      <c r="A6" s="5"/>
      <c r="B6" s="5"/>
      <c r="C6" s="5"/>
      <c r="D6" s="5"/>
      <c r="F6" s="19" t="s">
        <v>33</v>
      </c>
      <c r="G6" s="13">
        <v>0.05</v>
      </c>
      <c r="H6" s="19" t="s">
        <v>35</v>
      </c>
      <c r="I6" s="12">
        <v>0</v>
      </c>
      <c r="J6" s="19" t="s">
        <v>36</v>
      </c>
      <c r="K6" s="13">
        <v>100</v>
      </c>
    </row>
    <row r="7" spans="1:12" s="4" customFormat="1" ht="36.75" customHeight="1" x14ac:dyDescent="0.15">
      <c r="A7" s="55" t="s">
        <v>28</v>
      </c>
      <c r="B7" s="25" t="s">
        <v>4</v>
      </c>
      <c r="C7" s="27" t="s">
        <v>29</v>
      </c>
      <c r="D7" s="18" t="str">
        <f>$K$5</f>
        <v>psi</v>
      </c>
      <c r="F7" s="14" t="s">
        <v>28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34" t="s">
        <v>27</v>
      </c>
      <c r="B8" s="34" t="s">
        <v>27</v>
      </c>
      <c r="C8" s="52" t="s">
        <v>30</v>
      </c>
      <c r="D8" s="38" t="s">
        <v>3</v>
      </c>
      <c r="F8" s="33" t="s">
        <v>27</v>
      </c>
      <c r="G8" s="40" t="s">
        <v>38</v>
      </c>
      <c r="H8" s="39" t="s">
        <v>22</v>
      </c>
      <c r="I8" s="36" t="s">
        <v>37</v>
      </c>
      <c r="J8" s="36"/>
      <c r="K8" s="36"/>
    </row>
    <row r="9" spans="1:12" s="4" customFormat="1" x14ac:dyDescent="0.15">
      <c r="A9" s="35"/>
      <c r="B9" s="35"/>
      <c r="C9" s="46"/>
      <c r="D9" s="38"/>
      <c r="F9" s="32" t="str">
        <f>"（"&amp;$K$5&amp;"）"</f>
        <v>（psi）</v>
      </c>
      <c r="G9" s="41"/>
      <c r="H9" s="39"/>
      <c r="I9" s="36"/>
      <c r="J9" s="36"/>
      <c r="K9" s="36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8" si="0">A10</f>
        <v>0</v>
      </c>
      <c r="G10" s="10">
        <f t="shared" ref="G10:G18" si="1">ABS(C10)/($K$6-$I$6)</f>
        <v>0</v>
      </c>
      <c r="H10" s="42">
        <f>MAX(G10:G18)</f>
        <v>0</v>
      </c>
      <c r="I10" s="37"/>
      <c r="J10" s="37"/>
      <c r="K10" s="37"/>
    </row>
    <row r="11" spans="1:12" s="4" customFormat="1" x14ac:dyDescent="0.15">
      <c r="A11" s="20">
        <v>0</v>
      </c>
      <c r="B11" s="20">
        <v>0</v>
      </c>
      <c r="C11" s="21">
        <f t="shared" ref="C11:C18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43"/>
      <c r="I11" s="37"/>
      <c r="J11" s="37"/>
      <c r="K11" s="37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43"/>
      <c r="I12" s="37"/>
      <c r="J12" s="37"/>
      <c r="K12" s="37"/>
    </row>
    <row r="13" spans="1:12" s="4" customFormat="1" x14ac:dyDescent="0.15">
      <c r="A13" s="20">
        <v>0</v>
      </c>
      <c r="B13" s="20">
        <v>0</v>
      </c>
      <c r="C13" s="21">
        <f t="shared" si="2"/>
        <v>0</v>
      </c>
      <c r="D13" s="6">
        <v>1.2999999999999999E-2</v>
      </c>
      <c r="F13" s="22">
        <f t="shared" si="0"/>
        <v>0</v>
      </c>
      <c r="G13" s="10">
        <f t="shared" si="1"/>
        <v>0</v>
      </c>
      <c r="H13" s="43"/>
      <c r="I13" s="37"/>
      <c r="J13" s="37"/>
      <c r="K13" s="37"/>
    </row>
    <row r="14" spans="1:12" s="4" customFormat="1" x14ac:dyDescent="0.15">
      <c r="A14" s="20">
        <v>0</v>
      </c>
      <c r="B14" s="20">
        <v>0</v>
      </c>
      <c r="C14" s="21">
        <f t="shared" si="2"/>
        <v>0</v>
      </c>
      <c r="D14" s="6">
        <v>1.2999999999999999E-2</v>
      </c>
      <c r="F14" s="22">
        <f t="shared" si="0"/>
        <v>0</v>
      </c>
      <c r="G14" s="10">
        <f t="shared" si="1"/>
        <v>0</v>
      </c>
      <c r="H14" s="43"/>
      <c r="I14" s="37"/>
      <c r="J14" s="37"/>
      <c r="K14" s="37"/>
    </row>
    <row r="15" spans="1:12" s="4" customFormat="1" x14ac:dyDescent="0.15">
      <c r="A15" s="20">
        <v>0</v>
      </c>
      <c r="B15" s="20">
        <v>0</v>
      </c>
      <c r="C15" s="21">
        <f t="shared" si="2"/>
        <v>0</v>
      </c>
      <c r="D15" s="6">
        <v>1.2999999999999999E-2</v>
      </c>
      <c r="F15" s="22">
        <f t="shared" si="0"/>
        <v>0</v>
      </c>
      <c r="G15" s="10">
        <f t="shared" si="1"/>
        <v>0</v>
      </c>
      <c r="H15" s="43"/>
      <c r="I15" s="37"/>
      <c r="J15" s="37"/>
      <c r="K15" s="37"/>
    </row>
    <row r="16" spans="1:12" s="4" customFormat="1" x14ac:dyDescent="0.15">
      <c r="A16" s="20">
        <v>0</v>
      </c>
      <c r="B16" s="20">
        <v>0</v>
      </c>
      <c r="C16" s="21">
        <f t="shared" si="2"/>
        <v>0</v>
      </c>
      <c r="D16" s="6">
        <v>1.2999999999999999E-2</v>
      </c>
      <c r="F16" s="22">
        <f t="shared" si="0"/>
        <v>0</v>
      </c>
      <c r="G16" s="10">
        <f t="shared" si="1"/>
        <v>0</v>
      </c>
      <c r="H16" s="43"/>
      <c r="I16" s="37"/>
      <c r="J16" s="37"/>
      <c r="K16" s="37"/>
    </row>
    <row r="17" spans="1:11" x14ac:dyDescent="0.15">
      <c r="A17" s="20">
        <v>0</v>
      </c>
      <c r="B17" s="20">
        <v>0</v>
      </c>
      <c r="C17" s="21">
        <f t="shared" si="2"/>
        <v>0</v>
      </c>
      <c r="D17" s="6">
        <v>1.2999999999999999E-2</v>
      </c>
      <c r="F17" s="22">
        <f t="shared" si="0"/>
        <v>0</v>
      </c>
      <c r="G17" s="10">
        <f t="shared" si="1"/>
        <v>0</v>
      </c>
      <c r="H17" s="43"/>
      <c r="I17" s="37"/>
      <c r="J17" s="37"/>
      <c r="K17" s="37"/>
    </row>
    <row r="18" spans="1:11" x14ac:dyDescent="0.15">
      <c r="A18" s="20">
        <v>0</v>
      </c>
      <c r="B18" s="20">
        <v>0</v>
      </c>
      <c r="C18" s="21">
        <f t="shared" si="2"/>
        <v>0</v>
      </c>
      <c r="D18" s="6">
        <v>1.2999999999999999E-2</v>
      </c>
      <c r="F18" s="22">
        <f t="shared" si="0"/>
        <v>0</v>
      </c>
      <c r="G18" s="10">
        <f t="shared" si="1"/>
        <v>0</v>
      </c>
      <c r="H18" s="44"/>
      <c r="I18" s="37"/>
      <c r="J18" s="37"/>
      <c r="K18" s="37"/>
    </row>
    <row r="19" spans="1:11" x14ac:dyDescent="0.15">
      <c r="A19" s="28"/>
      <c r="B19" s="28"/>
      <c r="C19" s="29"/>
      <c r="D19" s="30"/>
      <c r="F19" s="31"/>
      <c r="G19" s="26"/>
      <c r="H19" s="26"/>
      <c r="I19" s="26"/>
      <c r="J19" s="26"/>
      <c r="K19" s="26"/>
    </row>
    <row r="21" spans="1:11" x14ac:dyDescent="0.15">
      <c r="A21" s="7" t="s">
        <v>28</v>
      </c>
      <c r="B21" s="25" t="s">
        <v>5</v>
      </c>
      <c r="C21" s="8" t="s">
        <v>29</v>
      </c>
      <c r="D21" s="18" t="str">
        <f>$K$5</f>
        <v>psi</v>
      </c>
      <c r="F21" s="14" t="s">
        <v>28</v>
      </c>
      <c r="G21" s="9" t="str">
        <f>B21</f>
        <v>CH2</v>
      </c>
      <c r="H21" s="4"/>
      <c r="I21" s="8"/>
      <c r="J21" s="3"/>
      <c r="K21" s="9"/>
    </row>
    <row r="22" spans="1:11" ht="15" customHeight="1" x14ac:dyDescent="0.15">
      <c r="A22" s="34" t="s">
        <v>27</v>
      </c>
      <c r="B22" s="34" t="s">
        <v>27</v>
      </c>
      <c r="C22" s="45" t="s">
        <v>30</v>
      </c>
      <c r="D22" s="38" t="s">
        <v>3</v>
      </c>
      <c r="F22" s="33" t="s">
        <v>27</v>
      </c>
      <c r="G22" s="40" t="s">
        <v>38</v>
      </c>
      <c r="H22" s="39" t="s">
        <v>22</v>
      </c>
      <c r="I22" s="36" t="s">
        <v>37</v>
      </c>
      <c r="J22" s="36"/>
      <c r="K22" s="36"/>
    </row>
    <row r="23" spans="1:11" x14ac:dyDescent="0.15">
      <c r="A23" s="35"/>
      <c r="B23" s="35"/>
      <c r="C23" s="46"/>
      <c r="D23" s="38"/>
      <c r="F23" s="32" t="str">
        <f>"（"&amp;$K$5&amp;"）"</f>
        <v>（psi）</v>
      </c>
      <c r="G23" s="41"/>
      <c r="H23" s="39"/>
      <c r="I23" s="36"/>
      <c r="J23" s="36"/>
      <c r="K23" s="36"/>
    </row>
    <row r="24" spans="1:11" x14ac:dyDescent="0.15">
      <c r="A24" s="20">
        <v>0</v>
      </c>
      <c r="B24" s="20">
        <v>0</v>
      </c>
      <c r="C24" s="21">
        <f>B24-A24</f>
        <v>0</v>
      </c>
      <c r="D24" s="6">
        <v>1.2999999999999999E-2</v>
      </c>
      <c r="F24" s="22">
        <f t="shared" ref="F24:F32" si="3">A24</f>
        <v>0</v>
      </c>
      <c r="G24" s="10">
        <f t="shared" ref="G24:G32" si="4">ABS(C24)/($K$6-$I$6)</f>
        <v>0</v>
      </c>
      <c r="H24" s="42">
        <f>MAX(G24:G32)</f>
        <v>0</v>
      </c>
      <c r="I24" s="37"/>
      <c r="J24" s="37"/>
      <c r="K24" s="37"/>
    </row>
    <row r="25" spans="1:11" x14ac:dyDescent="0.15">
      <c r="A25" s="20">
        <v>0</v>
      </c>
      <c r="B25" s="20">
        <v>0</v>
      </c>
      <c r="C25" s="21">
        <f t="shared" ref="C25:C32" si="5">B25-A25</f>
        <v>0</v>
      </c>
      <c r="D25" s="6">
        <v>1.2999999999999999E-2</v>
      </c>
      <c r="F25" s="22">
        <f t="shared" si="3"/>
        <v>0</v>
      </c>
      <c r="G25" s="10">
        <f t="shared" si="4"/>
        <v>0</v>
      </c>
      <c r="H25" s="43"/>
      <c r="I25" s="37"/>
      <c r="J25" s="37"/>
      <c r="K25" s="37"/>
    </row>
    <row r="26" spans="1:11" x14ac:dyDescent="0.15">
      <c r="A26" s="20">
        <v>0</v>
      </c>
      <c r="B26" s="20">
        <v>0</v>
      </c>
      <c r="C26" s="21">
        <f t="shared" si="5"/>
        <v>0</v>
      </c>
      <c r="D26" s="6">
        <v>1.2999999999999999E-2</v>
      </c>
      <c r="F26" s="22">
        <f t="shared" si="3"/>
        <v>0</v>
      </c>
      <c r="G26" s="10">
        <f t="shared" si="4"/>
        <v>0</v>
      </c>
      <c r="H26" s="43"/>
      <c r="I26" s="37"/>
      <c r="J26" s="37"/>
      <c r="K26" s="37"/>
    </row>
    <row r="27" spans="1:11" x14ac:dyDescent="0.15">
      <c r="A27" s="20">
        <v>0</v>
      </c>
      <c r="B27" s="20">
        <v>0</v>
      </c>
      <c r="C27" s="21">
        <f t="shared" si="5"/>
        <v>0</v>
      </c>
      <c r="D27" s="6">
        <v>1.2999999999999999E-2</v>
      </c>
      <c r="F27" s="22">
        <f t="shared" si="3"/>
        <v>0</v>
      </c>
      <c r="G27" s="10">
        <f t="shared" si="4"/>
        <v>0</v>
      </c>
      <c r="H27" s="43"/>
      <c r="I27" s="37"/>
      <c r="J27" s="37"/>
      <c r="K27" s="37"/>
    </row>
    <row r="28" spans="1:11" x14ac:dyDescent="0.15">
      <c r="A28" s="20">
        <v>0</v>
      </c>
      <c r="B28" s="20">
        <v>0</v>
      </c>
      <c r="C28" s="21">
        <f t="shared" si="5"/>
        <v>0</v>
      </c>
      <c r="D28" s="6">
        <v>1.2999999999999999E-2</v>
      </c>
      <c r="F28" s="22">
        <f t="shared" si="3"/>
        <v>0</v>
      </c>
      <c r="G28" s="10">
        <f t="shared" si="4"/>
        <v>0</v>
      </c>
      <c r="H28" s="43"/>
      <c r="I28" s="37"/>
      <c r="J28" s="37"/>
      <c r="K28" s="37"/>
    </row>
    <row r="29" spans="1:11" x14ac:dyDescent="0.15">
      <c r="A29" s="20">
        <v>0</v>
      </c>
      <c r="B29" s="20">
        <v>0</v>
      </c>
      <c r="C29" s="21">
        <f t="shared" si="5"/>
        <v>0</v>
      </c>
      <c r="D29" s="6">
        <v>1.2999999999999999E-2</v>
      </c>
      <c r="F29" s="22">
        <f t="shared" si="3"/>
        <v>0</v>
      </c>
      <c r="G29" s="10">
        <f t="shared" si="4"/>
        <v>0</v>
      </c>
      <c r="H29" s="43"/>
      <c r="I29" s="37"/>
      <c r="J29" s="37"/>
      <c r="K29" s="37"/>
    </row>
    <row r="30" spans="1:11" x14ac:dyDescent="0.15">
      <c r="A30" s="20">
        <v>0</v>
      </c>
      <c r="B30" s="20">
        <v>0</v>
      </c>
      <c r="C30" s="21">
        <f t="shared" si="5"/>
        <v>0</v>
      </c>
      <c r="D30" s="6">
        <v>1.2999999999999999E-2</v>
      </c>
      <c r="F30" s="22">
        <f t="shared" si="3"/>
        <v>0</v>
      </c>
      <c r="G30" s="10">
        <f t="shared" si="4"/>
        <v>0</v>
      </c>
      <c r="H30" s="43"/>
      <c r="I30" s="37"/>
      <c r="J30" s="37"/>
      <c r="K30" s="37"/>
    </row>
    <row r="31" spans="1:11" x14ac:dyDescent="0.15">
      <c r="A31" s="20">
        <v>0</v>
      </c>
      <c r="B31" s="20">
        <v>0</v>
      </c>
      <c r="C31" s="21">
        <f t="shared" si="5"/>
        <v>0</v>
      </c>
      <c r="D31" s="6">
        <v>1.2999999999999999E-2</v>
      </c>
      <c r="F31" s="22">
        <f t="shared" si="3"/>
        <v>0</v>
      </c>
      <c r="G31" s="10">
        <f t="shared" si="4"/>
        <v>0</v>
      </c>
      <c r="H31" s="43"/>
      <c r="I31" s="37"/>
      <c r="J31" s="37"/>
      <c r="K31" s="37"/>
    </row>
    <row r="32" spans="1:11" x14ac:dyDescent="0.15">
      <c r="A32" s="20">
        <v>0</v>
      </c>
      <c r="B32" s="20">
        <v>0</v>
      </c>
      <c r="C32" s="21">
        <f t="shared" si="5"/>
        <v>0</v>
      </c>
      <c r="D32" s="6">
        <v>1.2999999999999999E-2</v>
      </c>
      <c r="F32" s="22">
        <f t="shared" si="3"/>
        <v>0</v>
      </c>
      <c r="G32" s="10">
        <f t="shared" si="4"/>
        <v>0</v>
      </c>
      <c r="H32" s="44"/>
      <c r="I32" s="37"/>
      <c r="J32" s="37"/>
      <c r="K32" s="37"/>
    </row>
    <row r="33" spans="1:11" x14ac:dyDescent="0.15">
      <c r="A33" s="28"/>
      <c r="B33" s="28"/>
      <c r="C33" s="29"/>
      <c r="D33" s="30"/>
      <c r="F33" s="31"/>
      <c r="G33" s="26"/>
      <c r="H33" s="26"/>
      <c r="I33" s="26"/>
      <c r="J33" s="26"/>
      <c r="K33" s="26"/>
    </row>
    <row r="35" spans="1:11" x14ac:dyDescent="0.15">
      <c r="A35" s="7" t="s">
        <v>28</v>
      </c>
      <c r="B35" s="25" t="s">
        <v>6</v>
      </c>
      <c r="C35" s="8" t="s">
        <v>29</v>
      </c>
      <c r="D35" s="18" t="str">
        <f>$K$5</f>
        <v>psi</v>
      </c>
      <c r="F35" s="14" t="s">
        <v>28</v>
      </c>
      <c r="G35" s="9" t="str">
        <f>B35</f>
        <v>CH3</v>
      </c>
      <c r="H35" s="4"/>
      <c r="I35" s="8"/>
      <c r="J35" s="3"/>
      <c r="K35" s="9"/>
    </row>
    <row r="36" spans="1:11" ht="15" customHeight="1" x14ac:dyDescent="0.15">
      <c r="A36" s="34" t="s">
        <v>27</v>
      </c>
      <c r="B36" s="34" t="s">
        <v>27</v>
      </c>
      <c r="C36" s="45" t="s">
        <v>30</v>
      </c>
      <c r="D36" s="38" t="s">
        <v>3</v>
      </c>
      <c r="F36" s="33" t="s">
        <v>27</v>
      </c>
      <c r="G36" s="40" t="s">
        <v>38</v>
      </c>
      <c r="H36" s="39" t="s">
        <v>22</v>
      </c>
      <c r="I36" s="36" t="s">
        <v>37</v>
      </c>
      <c r="J36" s="36"/>
      <c r="K36" s="36"/>
    </row>
    <row r="37" spans="1:11" x14ac:dyDescent="0.15">
      <c r="A37" s="35"/>
      <c r="B37" s="35"/>
      <c r="C37" s="46"/>
      <c r="D37" s="38"/>
      <c r="F37" s="32" t="str">
        <f>"（"&amp;$K$5&amp;"）"</f>
        <v>（psi）</v>
      </c>
      <c r="G37" s="41"/>
      <c r="H37" s="39"/>
      <c r="I37" s="36"/>
      <c r="J37" s="36"/>
      <c r="K37" s="36"/>
    </row>
    <row r="38" spans="1:11" x14ac:dyDescent="0.15">
      <c r="A38" s="20">
        <v>0</v>
      </c>
      <c r="B38" s="20">
        <v>0</v>
      </c>
      <c r="C38" s="21">
        <f>B38-A38</f>
        <v>0</v>
      </c>
      <c r="D38" s="6">
        <v>1.2999999999999999E-2</v>
      </c>
      <c r="F38" s="22">
        <f t="shared" ref="F38:F46" si="6">A38</f>
        <v>0</v>
      </c>
      <c r="G38" s="10">
        <f t="shared" ref="G38:G46" si="7">ABS(C38)/($K$6-$I$6)</f>
        <v>0</v>
      </c>
      <c r="H38" s="42">
        <f>MAX(G38:G46)</f>
        <v>0</v>
      </c>
      <c r="I38" s="37"/>
      <c r="J38" s="37"/>
      <c r="K38" s="37"/>
    </row>
    <row r="39" spans="1:11" x14ac:dyDescent="0.15">
      <c r="A39" s="20">
        <v>0</v>
      </c>
      <c r="B39" s="20">
        <v>0</v>
      </c>
      <c r="C39" s="21">
        <f t="shared" ref="C39:C46" si="8">B39-A39</f>
        <v>0</v>
      </c>
      <c r="D39" s="6">
        <v>1.2999999999999999E-2</v>
      </c>
      <c r="F39" s="22">
        <f t="shared" si="6"/>
        <v>0</v>
      </c>
      <c r="G39" s="10">
        <f t="shared" si="7"/>
        <v>0</v>
      </c>
      <c r="H39" s="43"/>
      <c r="I39" s="37"/>
      <c r="J39" s="37"/>
      <c r="K39" s="37"/>
    </row>
    <row r="40" spans="1:11" x14ac:dyDescent="0.15">
      <c r="A40" s="20">
        <v>0</v>
      </c>
      <c r="B40" s="20">
        <v>0</v>
      </c>
      <c r="C40" s="21">
        <f t="shared" si="8"/>
        <v>0</v>
      </c>
      <c r="D40" s="6">
        <v>1.2999999999999999E-2</v>
      </c>
      <c r="F40" s="22">
        <f t="shared" si="6"/>
        <v>0</v>
      </c>
      <c r="G40" s="10">
        <f t="shared" si="7"/>
        <v>0</v>
      </c>
      <c r="H40" s="43"/>
      <c r="I40" s="37"/>
      <c r="J40" s="37"/>
      <c r="K40" s="37"/>
    </row>
    <row r="41" spans="1:11" x14ac:dyDescent="0.15">
      <c r="A41" s="20">
        <v>0</v>
      </c>
      <c r="B41" s="20">
        <v>0</v>
      </c>
      <c r="C41" s="21">
        <f t="shared" si="8"/>
        <v>0</v>
      </c>
      <c r="D41" s="6">
        <v>1.2999999999999999E-2</v>
      </c>
      <c r="F41" s="22">
        <f t="shared" si="6"/>
        <v>0</v>
      </c>
      <c r="G41" s="10">
        <f t="shared" si="7"/>
        <v>0</v>
      </c>
      <c r="H41" s="43"/>
      <c r="I41" s="37"/>
      <c r="J41" s="37"/>
      <c r="K41" s="37"/>
    </row>
    <row r="42" spans="1:11" x14ac:dyDescent="0.15">
      <c r="A42" s="20">
        <v>0</v>
      </c>
      <c r="B42" s="20">
        <v>0</v>
      </c>
      <c r="C42" s="21">
        <f t="shared" si="8"/>
        <v>0</v>
      </c>
      <c r="D42" s="6">
        <v>1.2999999999999999E-2</v>
      </c>
      <c r="F42" s="22">
        <f t="shared" si="6"/>
        <v>0</v>
      </c>
      <c r="G42" s="10">
        <f t="shared" si="7"/>
        <v>0</v>
      </c>
      <c r="H42" s="43"/>
      <c r="I42" s="37"/>
      <c r="J42" s="37"/>
      <c r="K42" s="37"/>
    </row>
    <row r="43" spans="1:11" x14ac:dyDescent="0.15">
      <c r="A43" s="20">
        <v>0</v>
      </c>
      <c r="B43" s="20">
        <v>0</v>
      </c>
      <c r="C43" s="21">
        <f t="shared" si="8"/>
        <v>0</v>
      </c>
      <c r="D43" s="6">
        <v>1.2999999999999999E-2</v>
      </c>
      <c r="F43" s="22">
        <f t="shared" si="6"/>
        <v>0</v>
      </c>
      <c r="G43" s="10">
        <f t="shared" si="7"/>
        <v>0</v>
      </c>
      <c r="H43" s="43"/>
      <c r="I43" s="37"/>
      <c r="J43" s="37"/>
      <c r="K43" s="37"/>
    </row>
    <row r="44" spans="1:11" x14ac:dyDescent="0.15">
      <c r="A44" s="20">
        <v>0</v>
      </c>
      <c r="B44" s="20">
        <v>0</v>
      </c>
      <c r="C44" s="21">
        <f t="shared" si="8"/>
        <v>0</v>
      </c>
      <c r="D44" s="6">
        <v>1.2999999999999999E-2</v>
      </c>
      <c r="F44" s="22">
        <f t="shared" si="6"/>
        <v>0</v>
      </c>
      <c r="G44" s="10">
        <f t="shared" si="7"/>
        <v>0</v>
      </c>
      <c r="H44" s="43"/>
      <c r="I44" s="37"/>
      <c r="J44" s="37"/>
      <c r="K44" s="37"/>
    </row>
    <row r="45" spans="1:11" x14ac:dyDescent="0.15">
      <c r="A45" s="20">
        <v>0</v>
      </c>
      <c r="B45" s="20">
        <v>0</v>
      </c>
      <c r="C45" s="21">
        <f t="shared" si="8"/>
        <v>0</v>
      </c>
      <c r="D45" s="6">
        <v>1.2999999999999999E-2</v>
      </c>
      <c r="F45" s="22">
        <f t="shared" si="6"/>
        <v>0</v>
      </c>
      <c r="G45" s="10">
        <f t="shared" si="7"/>
        <v>0</v>
      </c>
      <c r="H45" s="43"/>
      <c r="I45" s="37"/>
      <c r="J45" s="37"/>
      <c r="K45" s="37"/>
    </row>
    <row r="46" spans="1:11" x14ac:dyDescent="0.15">
      <c r="A46" s="20">
        <v>0</v>
      </c>
      <c r="B46" s="20">
        <v>0</v>
      </c>
      <c r="C46" s="21">
        <f t="shared" si="8"/>
        <v>0</v>
      </c>
      <c r="D46" s="6">
        <v>1.2999999999999999E-2</v>
      </c>
      <c r="F46" s="22">
        <f t="shared" si="6"/>
        <v>0</v>
      </c>
      <c r="G46" s="10">
        <f t="shared" si="7"/>
        <v>0</v>
      </c>
      <c r="H46" s="44"/>
      <c r="I46" s="37"/>
      <c r="J46" s="37"/>
      <c r="K46" s="37"/>
    </row>
    <row r="47" spans="1:11" x14ac:dyDescent="0.15">
      <c r="F47" s="31"/>
      <c r="G47" s="26"/>
      <c r="H47" s="26"/>
      <c r="I47" s="26"/>
      <c r="J47" s="26"/>
      <c r="K47" s="26"/>
    </row>
    <row r="50" spans="1:11" x14ac:dyDescent="0.15">
      <c r="A50" s="7" t="s">
        <v>28</v>
      </c>
      <c r="B50" s="25" t="s">
        <v>7</v>
      </c>
      <c r="C50" s="8" t="s">
        <v>29</v>
      </c>
      <c r="D50" s="18" t="str">
        <f>$K$5</f>
        <v>psi</v>
      </c>
      <c r="F50" s="14" t="s">
        <v>28</v>
      </c>
      <c r="G50" s="9" t="str">
        <f>B50</f>
        <v>CH4</v>
      </c>
      <c r="H50" s="4"/>
      <c r="I50" s="8"/>
      <c r="J50" s="3"/>
      <c r="K50" s="9"/>
    </row>
    <row r="51" spans="1:11" ht="15" customHeight="1" x14ac:dyDescent="0.15">
      <c r="A51" s="34" t="s">
        <v>27</v>
      </c>
      <c r="B51" s="34" t="s">
        <v>27</v>
      </c>
      <c r="C51" s="45" t="s">
        <v>30</v>
      </c>
      <c r="D51" s="38" t="s">
        <v>3</v>
      </c>
      <c r="F51" s="33" t="s">
        <v>27</v>
      </c>
      <c r="G51" s="40" t="s">
        <v>38</v>
      </c>
      <c r="H51" s="39" t="s">
        <v>22</v>
      </c>
      <c r="I51" s="36" t="s">
        <v>37</v>
      </c>
      <c r="J51" s="36"/>
      <c r="K51" s="36"/>
    </row>
    <row r="52" spans="1:11" x14ac:dyDescent="0.15">
      <c r="A52" s="35"/>
      <c r="B52" s="35"/>
      <c r="C52" s="46"/>
      <c r="D52" s="38"/>
      <c r="F52" s="32" t="str">
        <f>"（"&amp;$K$5&amp;"）"</f>
        <v>（psi）</v>
      </c>
      <c r="G52" s="41"/>
      <c r="H52" s="39"/>
      <c r="I52" s="36"/>
      <c r="J52" s="36"/>
      <c r="K52" s="36"/>
    </row>
    <row r="53" spans="1:11" x14ac:dyDescent="0.15">
      <c r="A53" s="20">
        <v>0</v>
      </c>
      <c r="B53" s="20">
        <v>0</v>
      </c>
      <c r="C53" s="21">
        <f>B53-A53</f>
        <v>0</v>
      </c>
      <c r="D53" s="6">
        <v>1.2999999999999999E-2</v>
      </c>
      <c r="F53" s="22">
        <f t="shared" ref="F53:F61" si="9">A53</f>
        <v>0</v>
      </c>
      <c r="G53" s="10">
        <f t="shared" ref="G53:G61" si="10">ABS(C53)/($K$6-$I$6)</f>
        <v>0</v>
      </c>
      <c r="H53" s="42">
        <f>MAX(G53:G61)</f>
        <v>0</v>
      </c>
      <c r="I53" s="37"/>
      <c r="J53" s="37"/>
      <c r="K53" s="37"/>
    </row>
    <row r="54" spans="1:11" x14ac:dyDescent="0.15">
      <c r="A54" s="20">
        <v>0</v>
      </c>
      <c r="B54" s="20">
        <v>0</v>
      </c>
      <c r="C54" s="21">
        <f t="shared" ref="C54:C61" si="11">B54-A54</f>
        <v>0</v>
      </c>
      <c r="D54" s="6">
        <v>1.2999999999999999E-2</v>
      </c>
      <c r="F54" s="22">
        <f t="shared" si="9"/>
        <v>0</v>
      </c>
      <c r="G54" s="10">
        <f t="shared" si="10"/>
        <v>0</v>
      </c>
      <c r="H54" s="43"/>
      <c r="I54" s="37"/>
      <c r="J54" s="37"/>
      <c r="K54" s="37"/>
    </row>
    <row r="55" spans="1:11" x14ac:dyDescent="0.15">
      <c r="A55" s="20">
        <v>0</v>
      </c>
      <c r="B55" s="20">
        <v>0</v>
      </c>
      <c r="C55" s="21">
        <f t="shared" si="11"/>
        <v>0</v>
      </c>
      <c r="D55" s="6">
        <v>1.2999999999999999E-2</v>
      </c>
      <c r="F55" s="22">
        <f t="shared" si="9"/>
        <v>0</v>
      </c>
      <c r="G55" s="10">
        <f t="shared" si="10"/>
        <v>0</v>
      </c>
      <c r="H55" s="43"/>
      <c r="I55" s="37"/>
      <c r="J55" s="37"/>
      <c r="K55" s="37"/>
    </row>
    <row r="56" spans="1:11" x14ac:dyDescent="0.15">
      <c r="A56" s="20">
        <v>0</v>
      </c>
      <c r="B56" s="20">
        <v>0</v>
      </c>
      <c r="C56" s="21">
        <f t="shared" si="11"/>
        <v>0</v>
      </c>
      <c r="D56" s="6">
        <v>1.2999999999999999E-2</v>
      </c>
      <c r="F56" s="22">
        <f t="shared" si="9"/>
        <v>0</v>
      </c>
      <c r="G56" s="10">
        <f t="shared" si="10"/>
        <v>0</v>
      </c>
      <c r="H56" s="43"/>
      <c r="I56" s="37"/>
      <c r="J56" s="37"/>
      <c r="K56" s="37"/>
    </row>
    <row r="57" spans="1:11" x14ac:dyDescent="0.15">
      <c r="A57" s="20">
        <v>0</v>
      </c>
      <c r="B57" s="20">
        <v>0</v>
      </c>
      <c r="C57" s="21">
        <f t="shared" si="11"/>
        <v>0</v>
      </c>
      <c r="D57" s="6">
        <v>1.2999999999999999E-2</v>
      </c>
      <c r="F57" s="22">
        <f t="shared" si="9"/>
        <v>0</v>
      </c>
      <c r="G57" s="10">
        <f t="shared" si="10"/>
        <v>0</v>
      </c>
      <c r="H57" s="43"/>
      <c r="I57" s="37"/>
      <c r="J57" s="37"/>
      <c r="K57" s="37"/>
    </row>
    <row r="58" spans="1:11" x14ac:dyDescent="0.15">
      <c r="A58" s="20">
        <v>0</v>
      </c>
      <c r="B58" s="20">
        <v>0</v>
      </c>
      <c r="C58" s="21">
        <f t="shared" si="11"/>
        <v>0</v>
      </c>
      <c r="D58" s="6">
        <v>1.2999999999999999E-2</v>
      </c>
      <c r="F58" s="22">
        <f t="shared" si="9"/>
        <v>0</v>
      </c>
      <c r="G58" s="10">
        <f t="shared" si="10"/>
        <v>0</v>
      </c>
      <c r="H58" s="43"/>
      <c r="I58" s="37"/>
      <c r="J58" s="37"/>
      <c r="K58" s="37"/>
    </row>
    <row r="59" spans="1:11" x14ac:dyDescent="0.15">
      <c r="A59" s="20">
        <v>0</v>
      </c>
      <c r="B59" s="20">
        <v>0</v>
      </c>
      <c r="C59" s="21">
        <f t="shared" si="11"/>
        <v>0</v>
      </c>
      <c r="D59" s="6">
        <v>1.2999999999999999E-2</v>
      </c>
      <c r="F59" s="22">
        <f t="shared" si="9"/>
        <v>0</v>
      </c>
      <c r="G59" s="10">
        <f t="shared" si="10"/>
        <v>0</v>
      </c>
      <c r="H59" s="43"/>
      <c r="I59" s="37"/>
      <c r="J59" s="37"/>
      <c r="K59" s="37"/>
    </row>
    <row r="60" spans="1:11" x14ac:dyDescent="0.15">
      <c r="A60" s="20">
        <v>0</v>
      </c>
      <c r="B60" s="20">
        <v>0</v>
      </c>
      <c r="C60" s="21">
        <f t="shared" si="11"/>
        <v>0</v>
      </c>
      <c r="D60" s="6">
        <v>1.2999999999999999E-2</v>
      </c>
      <c r="F60" s="22">
        <f t="shared" si="9"/>
        <v>0</v>
      </c>
      <c r="G60" s="10">
        <f t="shared" si="10"/>
        <v>0</v>
      </c>
      <c r="H60" s="43"/>
      <c r="I60" s="37"/>
      <c r="J60" s="37"/>
      <c r="K60" s="37"/>
    </row>
    <row r="61" spans="1:11" x14ac:dyDescent="0.15">
      <c r="A61" s="20">
        <v>0</v>
      </c>
      <c r="B61" s="20">
        <v>0</v>
      </c>
      <c r="C61" s="21">
        <f t="shared" si="11"/>
        <v>0</v>
      </c>
      <c r="D61" s="6">
        <v>1.2999999999999999E-2</v>
      </c>
      <c r="F61" s="22">
        <f t="shared" si="9"/>
        <v>0</v>
      </c>
      <c r="G61" s="10">
        <f t="shared" si="10"/>
        <v>0</v>
      </c>
      <c r="H61" s="44"/>
      <c r="I61" s="37"/>
      <c r="J61" s="37"/>
      <c r="K61" s="37"/>
    </row>
    <row r="62" spans="1:11" x14ac:dyDescent="0.15">
      <c r="A62" s="28"/>
      <c r="B62" s="28"/>
      <c r="C62" s="29"/>
      <c r="D62" s="30"/>
      <c r="F62" s="31"/>
      <c r="G62" s="26"/>
      <c r="H62" s="26"/>
      <c r="I62" s="26"/>
      <c r="J62" s="26"/>
      <c r="K62" s="26"/>
    </row>
    <row r="64" spans="1:11" x14ac:dyDescent="0.15">
      <c r="A64" s="7" t="s">
        <v>28</v>
      </c>
      <c r="B64" s="25" t="s">
        <v>8</v>
      </c>
      <c r="C64" s="8" t="s">
        <v>29</v>
      </c>
      <c r="D64" s="18" t="str">
        <f>$K$5</f>
        <v>psi</v>
      </c>
      <c r="F64" s="14" t="s">
        <v>28</v>
      </c>
      <c r="G64" s="9" t="str">
        <f>B64</f>
        <v>CH5</v>
      </c>
      <c r="H64" s="4"/>
      <c r="I64" s="8"/>
      <c r="J64" s="3"/>
      <c r="K64" s="9"/>
    </row>
    <row r="65" spans="1:11" ht="15" customHeight="1" x14ac:dyDescent="0.15">
      <c r="A65" s="34" t="s">
        <v>27</v>
      </c>
      <c r="B65" s="34" t="s">
        <v>27</v>
      </c>
      <c r="C65" s="45" t="s">
        <v>30</v>
      </c>
      <c r="D65" s="38" t="s">
        <v>3</v>
      </c>
      <c r="F65" s="33" t="s">
        <v>27</v>
      </c>
      <c r="G65" s="40" t="s">
        <v>38</v>
      </c>
      <c r="H65" s="39" t="s">
        <v>22</v>
      </c>
      <c r="I65" s="36" t="s">
        <v>37</v>
      </c>
      <c r="J65" s="36"/>
      <c r="K65" s="36"/>
    </row>
    <row r="66" spans="1:11" x14ac:dyDescent="0.15">
      <c r="A66" s="35"/>
      <c r="B66" s="35"/>
      <c r="C66" s="46"/>
      <c r="D66" s="38"/>
      <c r="F66" s="32" t="str">
        <f>"（"&amp;$K$5&amp;"）"</f>
        <v>（psi）</v>
      </c>
      <c r="G66" s="41"/>
      <c r="H66" s="39"/>
      <c r="I66" s="36"/>
      <c r="J66" s="36"/>
      <c r="K66" s="36"/>
    </row>
    <row r="67" spans="1:11" x14ac:dyDescent="0.15">
      <c r="A67" s="20">
        <v>0</v>
      </c>
      <c r="B67" s="20">
        <v>0</v>
      </c>
      <c r="C67" s="21">
        <f>B67-A67</f>
        <v>0</v>
      </c>
      <c r="D67" s="6">
        <v>1.2999999999999999E-2</v>
      </c>
      <c r="F67" s="22">
        <f t="shared" ref="F67:F75" si="12">A67</f>
        <v>0</v>
      </c>
      <c r="G67" s="10">
        <f t="shared" ref="G67:G75" si="13">ABS(C67)/($K$6-$I$6)</f>
        <v>0</v>
      </c>
      <c r="H67" s="42">
        <f>MAX(G67:G75)</f>
        <v>0</v>
      </c>
      <c r="I67" s="37"/>
      <c r="J67" s="37"/>
      <c r="K67" s="37"/>
    </row>
    <row r="68" spans="1:11" x14ac:dyDescent="0.15">
      <c r="A68" s="20">
        <v>0</v>
      </c>
      <c r="B68" s="20">
        <v>0</v>
      </c>
      <c r="C68" s="21">
        <f t="shared" ref="C68:C75" si="14">B68-A68</f>
        <v>0</v>
      </c>
      <c r="D68" s="6">
        <v>1.2999999999999999E-2</v>
      </c>
      <c r="F68" s="22">
        <f t="shared" si="12"/>
        <v>0</v>
      </c>
      <c r="G68" s="10">
        <f t="shared" si="13"/>
        <v>0</v>
      </c>
      <c r="H68" s="43"/>
      <c r="I68" s="37"/>
      <c r="J68" s="37"/>
      <c r="K68" s="37"/>
    </row>
    <row r="69" spans="1:11" x14ac:dyDescent="0.15">
      <c r="A69" s="20">
        <v>0</v>
      </c>
      <c r="B69" s="20">
        <v>0</v>
      </c>
      <c r="C69" s="21">
        <f t="shared" si="14"/>
        <v>0</v>
      </c>
      <c r="D69" s="6">
        <v>1.2999999999999999E-2</v>
      </c>
      <c r="F69" s="22">
        <f t="shared" si="12"/>
        <v>0</v>
      </c>
      <c r="G69" s="10">
        <f t="shared" si="13"/>
        <v>0</v>
      </c>
      <c r="H69" s="43"/>
      <c r="I69" s="37"/>
      <c r="J69" s="37"/>
      <c r="K69" s="37"/>
    </row>
    <row r="70" spans="1:11" x14ac:dyDescent="0.15">
      <c r="A70" s="20">
        <v>0</v>
      </c>
      <c r="B70" s="20">
        <v>0</v>
      </c>
      <c r="C70" s="21">
        <f t="shared" si="14"/>
        <v>0</v>
      </c>
      <c r="D70" s="6">
        <v>1.2999999999999999E-2</v>
      </c>
      <c r="F70" s="22">
        <f t="shared" si="12"/>
        <v>0</v>
      </c>
      <c r="G70" s="10">
        <f t="shared" si="13"/>
        <v>0</v>
      </c>
      <c r="H70" s="43"/>
      <c r="I70" s="37"/>
      <c r="J70" s="37"/>
      <c r="K70" s="37"/>
    </row>
    <row r="71" spans="1:11" x14ac:dyDescent="0.15">
      <c r="A71" s="20">
        <v>0</v>
      </c>
      <c r="B71" s="20">
        <v>0</v>
      </c>
      <c r="C71" s="21">
        <f t="shared" si="14"/>
        <v>0</v>
      </c>
      <c r="D71" s="6">
        <v>1.2999999999999999E-2</v>
      </c>
      <c r="F71" s="22">
        <f t="shared" si="12"/>
        <v>0</v>
      </c>
      <c r="G71" s="10">
        <f t="shared" si="13"/>
        <v>0</v>
      </c>
      <c r="H71" s="43"/>
      <c r="I71" s="37"/>
      <c r="J71" s="37"/>
      <c r="K71" s="37"/>
    </row>
    <row r="72" spans="1:11" x14ac:dyDescent="0.15">
      <c r="A72" s="20">
        <v>0</v>
      </c>
      <c r="B72" s="20">
        <v>0</v>
      </c>
      <c r="C72" s="21">
        <f t="shared" si="14"/>
        <v>0</v>
      </c>
      <c r="D72" s="6">
        <v>1.2999999999999999E-2</v>
      </c>
      <c r="F72" s="22">
        <f t="shared" si="12"/>
        <v>0</v>
      </c>
      <c r="G72" s="10">
        <f t="shared" si="13"/>
        <v>0</v>
      </c>
      <c r="H72" s="43"/>
      <c r="I72" s="37"/>
      <c r="J72" s="37"/>
      <c r="K72" s="37"/>
    </row>
    <row r="73" spans="1:11" x14ac:dyDescent="0.15">
      <c r="A73" s="20">
        <v>0</v>
      </c>
      <c r="B73" s="20">
        <v>0</v>
      </c>
      <c r="C73" s="21">
        <f t="shared" si="14"/>
        <v>0</v>
      </c>
      <c r="D73" s="6">
        <v>1.2999999999999999E-2</v>
      </c>
      <c r="F73" s="22">
        <f t="shared" si="12"/>
        <v>0</v>
      </c>
      <c r="G73" s="10">
        <f t="shared" si="13"/>
        <v>0</v>
      </c>
      <c r="H73" s="43"/>
      <c r="I73" s="37"/>
      <c r="J73" s="37"/>
      <c r="K73" s="37"/>
    </row>
    <row r="74" spans="1:11" x14ac:dyDescent="0.15">
      <c r="A74" s="20">
        <v>0</v>
      </c>
      <c r="B74" s="20">
        <v>0</v>
      </c>
      <c r="C74" s="21">
        <f t="shared" si="14"/>
        <v>0</v>
      </c>
      <c r="D74" s="6">
        <v>1.2999999999999999E-2</v>
      </c>
      <c r="F74" s="22">
        <f t="shared" si="12"/>
        <v>0</v>
      </c>
      <c r="G74" s="10">
        <f t="shared" si="13"/>
        <v>0</v>
      </c>
      <c r="H74" s="43"/>
      <c r="I74" s="37"/>
      <c r="J74" s="37"/>
      <c r="K74" s="37"/>
    </row>
    <row r="75" spans="1:11" x14ac:dyDescent="0.15">
      <c r="A75" s="20">
        <v>0</v>
      </c>
      <c r="B75" s="20">
        <v>0</v>
      </c>
      <c r="C75" s="21">
        <f t="shared" si="14"/>
        <v>0</v>
      </c>
      <c r="D75" s="6">
        <v>1.2999999999999999E-2</v>
      </c>
      <c r="F75" s="22">
        <f t="shared" si="12"/>
        <v>0</v>
      </c>
      <c r="G75" s="10">
        <f t="shared" si="13"/>
        <v>0</v>
      </c>
      <c r="H75" s="44"/>
      <c r="I75" s="37"/>
      <c r="J75" s="37"/>
      <c r="K75" s="37"/>
    </row>
    <row r="76" spans="1:11" x14ac:dyDescent="0.15">
      <c r="A76" s="28"/>
      <c r="B76" s="28"/>
      <c r="C76" s="29"/>
      <c r="D76" s="30"/>
      <c r="F76" s="31"/>
      <c r="G76" s="26"/>
      <c r="H76" s="26"/>
      <c r="I76" s="26"/>
      <c r="J76" s="26"/>
      <c r="K76" s="26"/>
    </row>
    <row r="78" spans="1:11" x14ac:dyDescent="0.15">
      <c r="A78" s="7" t="s">
        <v>28</v>
      </c>
      <c r="B78" s="25" t="s">
        <v>9</v>
      </c>
      <c r="C78" s="8" t="s">
        <v>29</v>
      </c>
      <c r="D78" s="18" t="str">
        <f>$K$5</f>
        <v>psi</v>
      </c>
      <c r="F78" s="14" t="s">
        <v>28</v>
      </c>
      <c r="G78" s="9" t="str">
        <f>B78</f>
        <v>CH6</v>
      </c>
      <c r="H78" s="4"/>
      <c r="I78" s="8"/>
      <c r="J78" s="3"/>
      <c r="K78" s="9"/>
    </row>
    <row r="79" spans="1:11" ht="15" customHeight="1" x14ac:dyDescent="0.15">
      <c r="A79" s="34" t="s">
        <v>27</v>
      </c>
      <c r="B79" s="34" t="s">
        <v>27</v>
      </c>
      <c r="C79" s="45" t="s">
        <v>30</v>
      </c>
      <c r="D79" s="38" t="s">
        <v>3</v>
      </c>
      <c r="F79" s="33" t="s">
        <v>27</v>
      </c>
      <c r="G79" s="40" t="s">
        <v>38</v>
      </c>
      <c r="H79" s="39" t="s">
        <v>22</v>
      </c>
      <c r="I79" s="36" t="s">
        <v>37</v>
      </c>
      <c r="J79" s="36"/>
      <c r="K79" s="36"/>
    </row>
    <row r="80" spans="1:11" x14ac:dyDescent="0.15">
      <c r="A80" s="35"/>
      <c r="B80" s="35"/>
      <c r="C80" s="46"/>
      <c r="D80" s="38"/>
      <c r="F80" s="32" t="str">
        <f>"（"&amp;$K$5&amp;"）"</f>
        <v>（psi）</v>
      </c>
      <c r="G80" s="41"/>
      <c r="H80" s="39"/>
      <c r="I80" s="36"/>
      <c r="J80" s="36"/>
      <c r="K80" s="36"/>
    </row>
    <row r="81" spans="1:11" x14ac:dyDescent="0.15">
      <c r="A81" s="20">
        <v>0</v>
      </c>
      <c r="B81" s="20">
        <v>0</v>
      </c>
      <c r="C81" s="21">
        <f>B81-A81</f>
        <v>0</v>
      </c>
      <c r="D81" s="6">
        <v>1.2999999999999999E-2</v>
      </c>
      <c r="F81" s="22">
        <f t="shared" ref="F81:F89" si="15">A81</f>
        <v>0</v>
      </c>
      <c r="G81" s="10">
        <f t="shared" ref="G81:G89" si="16">ABS(C81)/($K$6-$I$6)</f>
        <v>0</v>
      </c>
      <c r="H81" s="42">
        <f>MAX(G81:G89)</f>
        <v>0</v>
      </c>
      <c r="I81" s="37"/>
      <c r="J81" s="37"/>
      <c r="K81" s="37"/>
    </row>
    <row r="82" spans="1:11" x14ac:dyDescent="0.15">
      <c r="A82" s="20">
        <v>0</v>
      </c>
      <c r="B82" s="20">
        <v>0</v>
      </c>
      <c r="C82" s="21">
        <f t="shared" ref="C82:C89" si="17">B82-A82</f>
        <v>0</v>
      </c>
      <c r="D82" s="6">
        <v>1.2999999999999999E-2</v>
      </c>
      <c r="F82" s="22">
        <f t="shared" si="15"/>
        <v>0</v>
      </c>
      <c r="G82" s="10">
        <f t="shared" si="16"/>
        <v>0</v>
      </c>
      <c r="H82" s="43"/>
      <c r="I82" s="37"/>
      <c r="J82" s="37"/>
      <c r="K82" s="37"/>
    </row>
    <row r="83" spans="1:11" x14ac:dyDescent="0.15">
      <c r="A83" s="20">
        <v>0</v>
      </c>
      <c r="B83" s="20">
        <v>0</v>
      </c>
      <c r="C83" s="21">
        <f t="shared" si="17"/>
        <v>0</v>
      </c>
      <c r="D83" s="6">
        <v>1.2999999999999999E-2</v>
      </c>
      <c r="F83" s="22">
        <f t="shared" si="15"/>
        <v>0</v>
      </c>
      <c r="G83" s="10">
        <f t="shared" si="16"/>
        <v>0</v>
      </c>
      <c r="H83" s="43"/>
      <c r="I83" s="37"/>
      <c r="J83" s="37"/>
      <c r="K83" s="37"/>
    </row>
    <row r="84" spans="1:11" x14ac:dyDescent="0.15">
      <c r="A84" s="20">
        <v>0</v>
      </c>
      <c r="B84" s="20">
        <v>0</v>
      </c>
      <c r="C84" s="21">
        <f t="shared" si="17"/>
        <v>0</v>
      </c>
      <c r="D84" s="6">
        <v>1.2999999999999999E-2</v>
      </c>
      <c r="F84" s="22">
        <f t="shared" si="15"/>
        <v>0</v>
      </c>
      <c r="G84" s="10">
        <f t="shared" si="16"/>
        <v>0</v>
      </c>
      <c r="H84" s="43"/>
      <c r="I84" s="37"/>
      <c r="J84" s="37"/>
      <c r="K84" s="37"/>
    </row>
    <row r="85" spans="1:11" x14ac:dyDescent="0.15">
      <c r="A85" s="20">
        <v>0</v>
      </c>
      <c r="B85" s="20">
        <v>0</v>
      </c>
      <c r="C85" s="21">
        <f t="shared" si="17"/>
        <v>0</v>
      </c>
      <c r="D85" s="6">
        <v>1.2999999999999999E-2</v>
      </c>
      <c r="F85" s="22">
        <f t="shared" si="15"/>
        <v>0</v>
      </c>
      <c r="G85" s="10">
        <f t="shared" si="16"/>
        <v>0</v>
      </c>
      <c r="H85" s="43"/>
      <c r="I85" s="37"/>
      <c r="J85" s="37"/>
      <c r="K85" s="37"/>
    </row>
    <row r="86" spans="1:11" x14ac:dyDescent="0.15">
      <c r="A86" s="20">
        <v>0</v>
      </c>
      <c r="B86" s="20">
        <v>0</v>
      </c>
      <c r="C86" s="21">
        <f t="shared" si="17"/>
        <v>0</v>
      </c>
      <c r="D86" s="6">
        <v>1.2999999999999999E-2</v>
      </c>
      <c r="F86" s="22">
        <f t="shared" si="15"/>
        <v>0</v>
      </c>
      <c r="G86" s="10">
        <f t="shared" si="16"/>
        <v>0</v>
      </c>
      <c r="H86" s="43"/>
      <c r="I86" s="37"/>
      <c r="J86" s="37"/>
      <c r="K86" s="37"/>
    </row>
    <row r="87" spans="1:11" x14ac:dyDescent="0.15">
      <c r="A87" s="20">
        <v>0</v>
      </c>
      <c r="B87" s="20">
        <v>0</v>
      </c>
      <c r="C87" s="21">
        <f t="shared" si="17"/>
        <v>0</v>
      </c>
      <c r="D87" s="6">
        <v>1.2999999999999999E-2</v>
      </c>
      <c r="F87" s="22">
        <f t="shared" si="15"/>
        <v>0</v>
      </c>
      <c r="G87" s="10">
        <f t="shared" si="16"/>
        <v>0</v>
      </c>
      <c r="H87" s="43"/>
      <c r="I87" s="37"/>
      <c r="J87" s="37"/>
      <c r="K87" s="37"/>
    </row>
    <row r="88" spans="1:11" x14ac:dyDescent="0.15">
      <c r="A88" s="20">
        <v>0</v>
      </c>
      <c r="B88" s="20">
        <v>0</v>
      </c>
      <c r="C88" s="21">
        <f t="shared" si="17"/>
        <v>0</v>
      </c>
      <c r="D88" s="6">
        <v>1.2999999999999999E-2</v>
      </c>
      <c r="F88" s="22">
        <f t="shared" si="15"/>
        <v>0</v>
      </c>
      <c r="G88" s="10">
        <f t="shared" si="16"/>
        <v>0</v>
      </c>
      <c r="H88" s="43"/>
      <c r="I88" s="37"/>
      <c r="J88" s="37"/>
      <c r="K88" s="37"/>
    </row>
    <row r="89" spans="1:11" x14ac:dyDescent="0.15">
      <c r="A89" s="20">
        <v>0</v>
      </c>
      <c r="B89" s="20">
        <v>0</v>
      </c>
      <c r="C89" s="21">
        <f t="shared" si="17"/>
        <v>0</v>
      </c>
      <c r="D89" s="6">
        <v>1.2999999999999999E-2</v>
      </c>
      <c r="F89" s="22">
        <f t="shared" si="15"/>
        <v>0</v>
      </c>
      <c r="G89" s="10">
        <f t="shared" si="16"/>
        <v>0</v>
      </c>
      <c r="H89" s="44"/>
      <c r="I89" s="37"/>
      <c r="J89" s="37"/>
      <c r="K89" s="37"/>
    </row>
    <row r="90" spans="1:11" x14ac:dyDescent="0.15">
      <c r="F90" s="31"/>
      <c r="G90" s="26"/>
      <c r="H90" s="26"/>
      <c r="I90" s="26"/>
      <c r="J90" s="26"/>
      <c r="K90" s="26"/>
    </row>
    <row r="93" spans="1:11" x14ac:dyDescent="0.15">
      <c r="A93" s="7" t="s">
        <v>28</v>
      </c>
      <c r="B93" s="25" t="s">
        <v>10</v>
      </c>
      <c r="C93" s="8" t="s">
        <v>29</v>
      </c>
      <c r="D93" s="18" t="str">
        <f>$K$5</f>
        <v>psi</v>
      </c>
      <c r="F93" s="14" t="s">
        <v>28</v>
      </c>
      <c r="G93" s="9" t="str">
        <f>B93</f>
        <v>CH7</v>
      </c>
      <c r="H93" s="4"/>
      <c r="I93" s="8"/>
      <c r="J93" s="3"/>
      <c r="K93" s="9"/>
    </row>
    <row r="94" spans="1:11" ht="15" customHeight="1" x14ac:dyDescent="0.15">
      <c r="A94" s="34" t="s">
        <v>27</v>
      </c>
      <c r="B94" s="34" t="s">
        <v>27</v>
      </c>
      <c r="C94" s="45" t="s">
        <v>30</v>
      </c>
      <c r="D94" s="38" t="s">
        <v>3</v>
      </c>
      <c r="F94" s="33" t="s">
        <v>27</v>
      </c>
      <c r="G94" s="40" t="s">
        <v>38</v>
      </c>
      <c r="H94" s="39" t="s">
        <v>22</v>
      </c>
      <c r="I94" s="36" t="s">
        <v>37</v>
      </c>
      <c r="J94" s="36"/>
      <c r="K94" s="36"/>
    </row>
    <row r="95" spans="1:11" x14ac:dyDescent="0.15">
      <c r="A95" s="35"/>
      <c r="B95" s="35"/>
      <c r="C95" s="46"/>
      <c r="D95" s="38"/>
      <c r="F95" s="32" t="str">
        <f>"（"&amp;$K$5&amp;"）"</f>
        <v>（psi）</v>
      </c>
      <c r="G95" s="41"/>
      <c r="H95" s="39"/>
      <c r="I95" s="36"/>
      <c r="J95" s="36"/>
      <c r="K95" s="36"/>
    </row>
    <row r="96" spans="1:11" x14ac:dyDescent="0.15">
      <c r="A96" s="20">
        <v>0</v>
      </c>
      <c r="B96" s="20">
        <v>0</v>
      </c>
      <c r="C96" s="21">
        <f>B96-A96</f>
        <v>0</v>
      </c>
      <c r="D96" s="6">
        <v>1.2999999999999999E-2</v>
      </c>
      <c r="F96" s="22">
        <f t="shared" ref="F96:F104" si="18">A96</f>
        <v>0</v>
      </c>
      <c r="G96" s="10">
        <f t="shared" ref="G96:G104" si="19">ABS(C96)/($K$6-$I$6)</f>
        <v>0</v>
      </c>
      <c r="H96" s="42">
        <f>MAX(G96:G104)</f>
        <v>0</v>
      </c>
      <c r="I96" s="37"/>
      <c r="J96" s="37"/>
      <c r="K96" s="37"/>
    </row>
    <row r="97" spans="1:11" x14ac:dyDescent="0.15">
      <c r="A97" s="20">
        <v>0</v>
      </c>
      <c r="B97" s="20">
        <v>0</v>
      </c>
      <c r="C97" s="21">
        <f t="shared" ref="C97:C104" si="20">B97-A97</f>
        <v>0</v>
      </c>
      <c r="D97" s="6">
        <v>1.2999999999999999E-2</v>
      </c>
      <c r="F97" s="22">
        <f t="shared" si="18"/>
        <v>0</v>
      </c>
      <c r="G97" s="10">
        <f t="shared" si="19"/>
        <v>0</v>
      </c>
      <c r="H97" s="43"/>
      <c r="I97" s="37"/>
      <c r="J97" s="37"/>
      <c r="K97" s="37"/>
    </row>
    <row r="98" spans="1:11" x14ac:dyDescent="0.15">
      <c r="A98" s="20">
        <v>0</v>
      </c>
      <c r="B98" s="20">
        <v>0</v>
      </c>
      <c r="C98" s="21">
        <f t="shared" si="20"/>
        <v>0</v>
      </c>
      <c r="D98" s="6">
        <v>1.2999999999999999E-2</v>
      </c>
      <c r="F98" s="22">
        <f t="shared" si="18"/>
        <v>0</v>
      </c>
      <c r="G98" s="10">
        <f t="shared" si="19"/>
        <v>0</v>
      </c>
      <c r="H98" s="43"/>
      <c r="I98" s="37"/>
      <c r="J98" s="37"/>
      <c r="K98" s="37"/>
    </row>
    <row r="99" spans="1:11" x14ac:dyDescent="0.15">
      <c r="A99" s="20">
        <v>0</v>
      </c>
      <c r="B99" s="20">
        <v>0</v>
      </c>
      <c r="C99" s="21">
        <f t="shared" si="20"/>
        <v>0</v>
      </c>
      <c r="D99" s="6">
        <v>1.2999999999999999E-2</v>
      </c>
      <c r="F99" s="22">
        <f t="shared" si="18"/>
        <v>0</v>
      </c>
      <c r="G99" s="10">
        <f t="shared" si="19"/>
        <v>0</v>
      </c>
      <c r="H99" s="43"/>
      <c r="I99" s="37"/>
      <c r="J99" s="37"/>
      <c r="K99" s="37"/>
    </row>
    <row r="100" spans="1:11" x14ac:dyDescent="0.15">
      <c r="A100" s="20">
        <v>0</v>
      </c>
      <c r="B100" s="20">
        <v>0</v>
      </c>
      <c r="C100" s="21">
        <f t="shared" si="20"/>
        <v>0</v>
      </c>
      <c r="D100" s="6">
        <v>1.2999999999999999E-2</v>
      </c>
      <c r="F100" s="22">
        <f t="shared" si="18"/>
        <v>0</v>
      </c>
      <c r="G100" s="10">
        <f t="shared" si="19"/>
        <v>0</v>
      </c>
      <c r="H100" s="43"/>
      <c r="I100" s="37"/>
      <c r="J100" s="37"/>
      <c r="K100" s="37"/>
    </row>
    <row r="101" spans="1:11" x14ac:dyDescent="0.15">
      <c r="A101" s="20">
        <v>0</v>
      </c>
      <c r="B101" s="20">
        <v>0</v>
      </c>
      <c r="C101" s="21">
        <f t="shared" si="20"/>
        <v>0</v>
      </c>
      <c r="D101" s="6">
        <v>1.2999999999999999E-2</v>
      </c>
      <c r="F101" s="22">
        <f t="shared" si="18"/>
        <v>0</v>
      </c>
      <c r="G101" s="10">
        <f t="shared" si="19"/>
        <v>0</v>
      </c>
      <c r="H101" s="43"/>
      <c r="I101" s="37"/>
      <c r="J101" s="37"/>
      <c r="K101" s="37"/>
    </row>
    <row r="102" spans="1:11" x14ac:dyDescent="0.15">
      <c r="A102" s="20">
        <v>0</v>
      </c>
      <c r="B102" s="20">
        <v>0</v>
      </c>
      <c r="C102" s="21">
        <f t="shared" si="20"/>
        <v>0</v>
      </c>
      <c r="D102" s="6">
        <v>1.2999999999999999E-2</v>
      </c>
      <c r="F102" s="22">
        <f t="shared" si="18"/>
        <v>0</v>
      </c>
      <c r="G102" s="10">
        <f t="shared" si="19"/>
        <v>0</v>
      </c>
      <c r="H102" s="43"/>
      <c r="I102" s="37"/>
      <c r="J102" s="37"/>
      <c r="K102" s="37"/>
    </row>
    <row r="103" spans="1:11" x14ac:dyDescent="0.15">
      <c r="A103" s="20">
        <v>0</v>
      </c>
      <c r="B103" s="20">
        <v>0</v>
      </c>
      <c r="C103" s="21">
        <f t="shared" si="20"/>
        <v>0</v>
      </c>
      <c r="D103" s="6">
        <v>1.2999999999999999E-2</v>
      </c>
      <c r="F103" s="22">
        <f t="shared" si="18"/>
        <v>0</v>
      </c>
      <c r="G103" s="10">
        <f t="shared" si="19"/>
        <v>0</v>
      </c>
      <c r="H103" s="43"/>
      <c r="I103" s="37"/>
      <c r="J103" s="37"/>
      <c r="K103" s="37"/>
    </row>
    <row r="104" spans="1:11" x14ac:dyDescent="0.15">
      <c r="A104" s="20">
        <v>0</v>
      </c>
      <c r="B104" s="20">
        <v>0</v>
      </c>
      <c r="C104" s="21">
        <f t="shared" si="20"/>
        <v>0</v>
      </c>
      <c r="D104" s="6">
        <v>1.2999999999999999E-2</v>
      </c>
      <c r="F104" s="22">
        <f t="shared" si="18"/>
        <v>0</v>
      </c>
      <c r="G104" s="10">
        <f t="shared" si="19"/>
        <v>0</v>
      </c>
      <c r="H104" s="44"/>
      <c r="I104" s="37"/>
      <c r="J104" s="37"/>
      <c r="K104" s="37"/>
    </row>
    <row r="105" spans="1:11" x14ac:dyDescent="0.15">
      <c r="A105" s="28"/>
      <c r="B105" s="28"/>
      <c r="C105" s="29"/>
      <c r="D105" s="30"/>
      <c r="F105" s="31"/>
      <c r="G105" s="26"/>
      <c r="H105" s="26"/>
      <c r="I105" s="26"/>
      <c r="J105" s="26"/>
      <c r="K105" s="26"/>
    </row>
    <row r="107" spans="1:11" x14ac:dyDescent="0.15">
      <c r="A107" s="7" t="s">
        <v>28</v>
      </c>
      <c r="B107" s="25" t="s">
        <v>11</v>
      </c>
      <c r="C107" s="8" t="s">
        <v>29</v>
      </c>
      <c r="D107" s="18" t="str">
        <f>$K$5</f>
        <v>psi</v>
      </c>
      <c r="F107" s="14" t="s">
        <v>28</v>
      </c>
      <c r="G107" s="9" t="str">
        <f>B107</f>
        <v>CH8</v>
      </c>
      <c r="H107" s="4"/>
      <c r="I107" s="8"/>
      <c r="J107" s="3"/>
      <c r="K107" s="9"/>
    </row>
    <row r="108" spans="1:11" ht="15" customHeight="1" x14ac:dyDescent="0.15">
      <c r="A108" s="34" t="s">
        <v>27</v>
      </c>
      <c r="B108" s="34" t="s">
        <v>27</v>
      </c>
      <c r="C108" s="45" t="s">
        <v>30</v>
      </c>
      <c r="D108" s="38" t="s">
        <v>3</v>
      </c>
      <c r="F108" s="33" t="s">
        <v>27</v>
      </c>
      <c r="G108" s="40" t="s">
        <v>38</v>
      </c>
      <c r="H108" s="39" t="s">
        <v>22</v>
      </c>
      <c r="I108" s="36" t="s">
        <v>37</v>
      </c>
      <c r="J108" s="36"/>
      <c r="K108" s="36"/>
    </row>
    <row r="109" spans="1:11" x14ac:dyDescent="0.15">
      <c r="A109" s="35"/>
      <c r="B109" s="35"/>
      <c r="C109" s="46"/>
      <c r="D109" s="38"/>
      <c r="F109" s="32" t="str">
        <f>"（"&amp;$K$5&amp;"）"</f>
        <v>（psi）</v>
      </c>
      <c r="G109" s="41"/>
      <c r="H109" s="39"/>
      <c r="I109" s="36"/>
      <c r="J109" s="36"/>
      <c r="K109" s="36"/>
    </row>
    <row r="110" spans="1:11" x14ac:dyDescent="0.15">
      <c r="A110" s="20">
        <v>0</v>
      </c>
      <c r="B110" s="20">
        <v>0</v>
      </c>
      <c r="C110" s="21">
        <f>B110-A110</f>
        <v>0</v>
      </c>
      <c r="D110" s="6">
        <v>1.2999999999999999E-2</v>
      </c>
      <c r="F110" s="22">
        <f t="shared" ref="F110:F118" si="21">A110</f>
        <v>0</v>
      </c>
      <c r="G110" s="10">
        <f t="shared" ref="G110:G118" si="22">ABS(C110)/($K$6-$I$6)</f>
        <v>0</v>
      </c>
      <c r="H110" s="42">
        <f>MAX(G110:G118)</f>
        <v>0</v>
      </c>
      <c r="I110" s="37"/>
      <c r="J110" s="37"/>
      <c r="K110" s="37"/>
    </row>
    <row r="111" spans="1:11" x14ac:dyDescent="0.15">
      <c r="A111" s="20">
        <v>0</v>
      </c>
      <c r="B111" s="20">
        <v>0</v>
      </c>
      <c r="C111" s="21">
        <f t="shared" ref="C111:C118" si="23">B111-A111</f>
        <v>0</v>
      </c>
      <c r="D111" s="6">
        <v>1.2999999999999999E-2</v>
      </c>
      <c r="F111" s="22">
        <f t="shared" si="21"/>
        <v>0</v>
      </c>
      <c r="G111" s="10">
        <f t="shared" si="22"/>
        <v>0</v>
      </c>
      <c r="H111" s="43"/>
      <c r="I111" s="37"/>
      <c r="J111" s="37"/>
      <c r="K111" s="37"/>
    </row>
    <row r="112" spans="1:11" x14ac:dyDescent="0.15">
      <c r="A112" s="20">
        <v>0</v>
      </c>
      <c r="B112" s="20">
        <v>0</v>
      </c>
      <c r="C112" s="21">
        <f t="shared" si="23"/>
        <v>0</v>
      </c>
      <c r="D112" s="6">
        <v>1.2999999999999999E-2</v>
      </c>
      <c r="F112" s="22">
        <f t="shared" si="21"/>
        <v>0</v>
      </c>
      <c r="G112" s="10">
        <f t="shared" si="22"/>
        <v>0</v>
      </c>
      <c r="H112" s="43"/>
      <c r="I112" s="37"/>
      <c r="J112" s="37"/>
      <c r="K112" s="37"/>
    </row>
    <row r="113" spans="1:11" x14ac:dyDescent="0.15">
      <c r="A113" s="20">
        <v>0</v>
      </c>
      <c r="B113" s="20">
        <v>0</v>
      </c>
      <c r="C113" s="21">
        <f t="shared" si="23"/>
        <v>0</v>
      </c>
      <c r="D113" s="6">
        <v>1.2999999999999999E-2</v>
      </c>
      <c r="F113" s="22">
        <f t="shared" si="21"/>
        <v>0</v>
      </c>
      <c r="G113" s="10">
        <f t="shared" si="22"/>
        <v>0</v>
      </c>
      <c r="H113" s="43"/>
      <c r="I113" s="37"/>
      <c r="J113" s="37"/>
      <c r="K113" s="37"/>
    </row>
    <row r="114" spans="1:11" x14ac:dyDescent="0.15">
      <c r="A114" s="20">
        <v>0</v>
      </c>
      <c r="B114" s="20">
        <v>0</v>
      </c>
      <c r="C114" s="21">
        <f t="shared" si="23"/>
        <v>0</v>
      </c>
      <c r="D114" s="6">
        <v>1.2999999999999999E-2</v>
      </c>
      <c r="F114" s="22">
        <f t="shared" si="21"/>
        <v>0</v>
      </c>
      <c r="G114" s="10">
        <f t="shared" si="22"/>
        <v>0</v>
      </c>
      <c r="H114" s="43"/>
      <c r="I114" s="37"/>
      <c r="J114" s="37"/>
      <c r="K114" s="37"/>
    </row>
    <row r="115" spans="1:11" x14ac:dyDescent="0.15">
      <c r="A115" s="20">
        <v>0</v>
      </c>
      <c r="B115" s="20">
        <v>0</v>
      </c>
      <c r="C115" s="21">
        <f t="shared" si="23"/>
        <v>0</v>
      </c>
      <c r="D115" s="6">
        <v>1.2999999999999999E-2</v>
      </c>
      <c r="F115" s="22">
        <f t="shared" si="21"/>
        <v>0</v>
      </c>
      <c r="G115" s="10">
        <f t="shared" si="22"/>
        <v>0</v>
      </c>
      <c r="H115" s="43"/>
      <c r="I115" s="37"/>
      <c r="J115" s="37"/>
      <c r="K115" s="37"/>
    </row>
    <row r="116" spans="1:11" x14ac:dyDescent="0.15">
      <c r="A116" s="20">
        <v>0</v>
      </c>
      <c r="B116" s="20">
        <v>0</v>
      </c>
      <c r="C116" s="21">
        <f t="shared" si="23"/>
        <v>0</v>
      </c>
      <c r="D116" s="6">
        <v>1.2999999999999999E-2</v>
      </c>
      <c r="F116" s="22">
        <f t="shared" si="21"/>
        <v>0</v>
      </c>
      <c r="G116" s="10">
        <f t="shared" si="22"/>
        <v>0</v>
      </c>
      <c r="H116" s="43"/>
      <c r="I116" s="37"/>
      <c r="J116" s="37"/>
      <c r="K116" s="37"/>
    </row>
    <row r="117" spans="1:11" x14ac:dyDescent="0.15">
      <c r="A117" s="20">
        <v>0</v>
      </c>
      <c r="B117" s="20">
        <v>0</v>
      </c>
      <c r="C117" s="21">
        <f t="shared" si="23"/>
        <v>0</v>
      </c>
      <c r="D117" s="6">
        <v>1.2999999999999999E-2</v>
      </c>
      <c r="F117" s="22">
        <f t="shared" si="21"/>
        <v>0</v>
      </c>
      <c r="G117" s="10">
        <f t="shared" si="22"/>
        <v>0</v>
      </c>
      <c r="H117" s="43"/>
      <c r="I117" s="37"/>
      <c r="J117" s="37"/>
      <c r="K117" s="37"/>
    </row>
    <row r="118" spans="1:11" x14ac:dyDescent="0.15">
      <c r="A118" s="20">
        <v>0</v>
      </c>
      <c r="B118" s="20">
        <v>0</v>
      </c>
      <c r="C118" s="21">
        <f t="shared" si="23"/>
        <v>0</v>
      </c>
      <c r="D118" s="6">
        <v>1.2999999999999999E-2</v>
      </c>
      <c r="F118" s="22">
        <f t="shared" si="21"/>
        <v>0</v>
      </c>
      <c r="G118" s="10">
        <f t="shared" si="22"/>
        <v>0</v>
      </c>
      <c r="H118" s="44"/>
      <c r="I118" s="37"/>
      <c r="J118" s="37"/>
      <c r="K118" s="37"/>
    </row>
    <row r="119" spans="1:11" x14ac:dyDescent="0.15">
      <c r="A119" s="28"/>
      <c r="B119" s="28"/>
      <c r="C119" s="29"/>
      <c r="D119" s="30"/>
      <c r="F119" s="31"/>
      <c r="G119" s="26"/>
      <c r="H119" s="26"/>
      <c r="I119" s="26"/>
      <c r="J119" s="26"/>
      <c r="K119" s="26"/>
    </row>
    <row r="121" spans="1:11" x14ac:dyDescent="0.15">
      <c r="A121" s="7" t="s">
        <v>28</v>
      </c>
      <c r="B121" s="25" t="s">
        <v>12</v>
      </c>
      <c r="C121" s="8" t="s">
        <v>29</v>
      </c>
      <c r="D121" s="18" t="str">
        <f>$K$5</f>
        <v>psi</v>
      </c>
      <c r="F121" s="14" t="s">
        <v>28</v>
      </c>
      <c r="G121" s="9" t="str">
        <f>B121</f>
        <v>CH9</v>
      </c>
      <c r="H121" s="4"/>
      <c r="I121" s="8"/>
      <c r="J121" s="3"/>
      <c r="K121" s="9"/>
    </row>
    <row r="122" spans="1:11" ht="15" customHeight="1" x14ac:dyDescent="0.15">
      <c r="A122" s="34" t="s">
        <v>27</v>
      </c>
      <c r="B122" s="34" t="s">
        <v>27</v>
      </c>
      <c r="C122" s="45" t="s">
        <v>30</v>
      </c>
      <c r="D122" s="38" t="s">
        <v>3</v>
      </c>
      <c r="F122" s="33" t="s">
        <v>27</v>
      </c>
      <c r="G122" s="40" t="s">
        <v>38</v>
      </c>
      <c r="H122" s="39" t="s">
        <v>22</v>
      </c>
      <c r="I122" s="36" t="s">
        <v>37</v>
      </c>
      <c r="J122" s="36"/>
      <c r="K122" s="36"/>
    </row>
    <row r="123" spans="1:11" x14ac:dyDescent="0.15">
      <c r="A123" s="35"/>
      <c r="B123" s="35"/>
      <c r="C123" s="46"/>
      <c r="D123" s="38"/>
      <c r="F123" s="32" t="str">
        <f>"（"&amp;$K$5&amp;"）"</f>
        <v>（psi）</v>
      </c>
      <c r="G123" s="41"/>
      <c r="H123" s="39"/>
      <c r="I123" s="36"/>
      <c r="J123" s="36"/>
      <c r="K123" s="36"/>
    </row>
    <row r="124" spans="1:11" x14ac:dyDescent="0.15">
      <c r="A124" s="20">
        <v>0</v>
      </c>
      <c r="B124" s="20">
        <v>0</v>
      </c>
      <c r="C124" s="21">
        <f>B124-A124</f>
        <v>0</v>
      </c>
      <c r="D124" s="6">
        <v>1.2999999999999999E-2</v>
      </c>
      <c r="F124" s="22">
        <f t="shared" ref="F124:F132" si="24">A124</f>
        <v>0</v>
      </c>
      <c r="G124" s="10">
        <f t="shared" ref="G124:G132" si="25">ABS(C124)/($K$6-$I$6)</f>
        <v>0</v>
      </c>
      <c r="H124" s="42">
        <f>MAX(G124:G132)</f>
        <v>0</v>
      </c>
      <c r="I124" s="37"/>
      <c r="J124" s="37"/>
      <c r="K124" s="37"/>
    </row>
    <row r="125" spans="1:11" x14ac:dyDescent="0.15">
      <c r="A125" s="20">
        <v>0</v>
      </c>
      <c r="B125" s="20">
        <v>0</v>
      </c>
      <c r="C125" s="21">
        <f t="shared" ref="C125:C132" si="26">B125-A125</f>
        <v>0</v>
      </c>
      <c r="D125" s="6">
        <v>1.2999999999999999E-2</v>
      </c>
      <c r="F125" s="22">
        <f t="shared" si="24"/>
        <v>0</v>
      </c>
      <c r="G125" s="10">
        <f t="shared" si="25"/>
        <v>0</v>
      </c>
      <c r="H125" s="43"/>
      <c r="I125" s="37"/>
      <c r="J125" s="37"/>
      <c r="K125" s="37"/>
    </row>
    <row r="126" spans="1:11" x14ac:dyDescent="0.15">
      <c r="A126" s="20">
        <v>0</v>
      </c>
      <c r="B126" s="20">
        <v>0</v>
      </c>
      <c r="C126" s="21">
        <f t="shared" si="26"/>
        <v>0</v>
      </c>
      <c r="D126" s="6">
        <v>1.2999999999999999E-2</v>
      </c>
      <c r="F126" s="22">
        <f t="shared" si="24"/>
        <v>0</v>
      </c>
      <c r="G126" s="10">
        <f t="shared" si="25"/>
        <v>0</v>
      </c>
      <c r="H126" s="43"/>
      <c r="I126" s="37"/>
      <c r="J126" s="37"/>
      <c r="K126" s="37"/>
    </row>
    <row r="127" spans="1:11" x14ac:dyDescent="0.15">
      <c r="A127" s="20">
        <v>0</v>
      </c>
      <c r="B127" s="20">
        <v>0</v>
      </c>
      <c r="C127" s="21">
        <f t="shared" si="26"/>
        <v>0</v>
      </c>
      <c r="D127" s="6">
        <v>1.2999999999999999E-2</v>
      </c>
      <c r="F127" s="22">
        <f t="shared" si="24"/>
        <v>0</v>
      </c>
      <c r="G127" s="10">
        <f t="shared" si="25"/>
        <v>0</v>
      </c>
      <c r="H127" s="43"/>
      <c r="I127" s="37"/>
      <c r="J127" s="37"/>
      <c r="K127" s="37"/>
    </row>
    <row r="128" spans="1:11" x14ac:dyDescent="0.15">
      <c r="A128" s="20">
        <v>0</v>
      </c>
      <c r="B128" s="20">
        <v>0</v>
      </c>
      <c r="C128" s="21">
        <f t="shared" si="26"/>
        <v>0</v>
      </c>
      <c r="D128" s="6">
        <v>1.2999999999999999E-2</v>
      </c>
      <c r="F128" s="22">
        <f t="shared" si="24"/>
        <v>0</v>
      </c>
      <c r="G128" s="10">
        <f t="shared" si="25"/>
        <v>0</v>
      </c>
      <c r="H128" s="43"/>
      <c r="I128" s="37"/>
      <c r="J128" s="37"/>
      <c r="K128" s="37"/>
    </row>
    <row r="129" spans="1:11" x14ac:dyDescent="0.15">
      <c r="A129" s="20">
        <v>0</v>
      </c>
      <c r="B129" s="20">
        <v>0</v>
      </c>
      <c r="C129" s="21">
        <f t="shared" si="26"/>
        <v>0</v>
      </c>
      <c r="D129" s="6">
        <v>1.2999999999999999E-2</v>
      </c>
      <c r="F129" s="22">
        <f t="shared" si="24"/>
        <v>0</v>
      </c>
      <c r="G129" s="10">
        <f t="shared" si="25"/>
        <v>0</v>
      </c>
      <c r="H129" s="43"/>
      <c r="I129" s="37"/>
      <c r="J129" s="37"/>
      <c r="K129" s="37"/>
    </row>
    <row r="130" spans="1:11" x14ac:dyDescent="0.15">
      <c r="A130" s="20">
        <v>0</v>
      </c>
      <c r="B130" s="20">
        <v>0</v>
      </c>
      <c r="C130" s="21">
        <f t="shared" si="26"/>
        <v>0</v>
      </c>
      <c r="D130" s="6">
        <v>1.2999999999999999E-2</v>
      </c>
      <c r="F130" s="22">
        <f t="shared" si="24"/>
        <v>0</v>
      </c>
      <c r="G130" s="10">
        <f t="shared" si="25"/>
        <v>0</v>
      </c>
      <c r="H130" s="43"/>
      <c r="I130" s="37"/>
      <c r="J130" s="37"/>
      <c r="K130" s="37"/>
    </row>
    <row r="131" spans="1:11" x14ac:dyDescent="0.15">
      <c r="A131" s="20">
        <v>0</v>
      </c>
      <c r="B131" s="20">
        <v>0</v>
      </c>
      <c r="C131" s="21">
        <f t="shared" si="26"/>
        <v>0</v>
      </c>
      <c r="D131" s="6">
        <v>1.2999999999999999E-2</v>
      </c>
      <c r="F131" s="22">
        <f t="shared" si="24"/>
        <v>0</v>
      </c>
      <c r="G131" s="10">
        <f t="shared" si="25"/>
        <v>0</v>
      </c>
      <c r="H131" s="43"/>
      <c r="I131" s="37"/>
      <c r="J131" s="37"/>
      <c r="K131" s="37"/>
    </row>
    <row r="132" spans="1:11" x14ac:dyDescent="0.15">
      <c r="A132" s="20">
        <v>0</v>
      </c>
      <c r="B132" s="20">
        <v>0</v>
      </c>
      <c r="C132" s="21">
        <f t="shared" si="26"/>
        <v>0</v>
      </c>
      <c r="D132" s="6">
        <v>1.2999999999999999E-2</v>
      </c>
      <c r="F132" s="22">
        <f t="shared" si="24"/>
        <v>0</v>
      </c>
      <c r="G132" s="10">
        <f t="shared" si="25"/>
        <v>0</v>
      </c>
      <c r="H132" s="44"/>
      <c r="I132" s="37"/>
      <c r="J132" s="37"/>
      <c r="K132" s="37"/>
    </row>
    <row r="133" spans="1:11" x14ac:dyDescent="0.15">
      <c r="F133" s="31"/>
      <c r="G133" s="26"/>
      <c r="H133" s="26"/>
      <c r="I133" s="26"/>
      <c r="J133" s="26"/>
      <c r="K133" s="26"/>
    </row>
    <row r="137" spans="1:11" x14ac:dyDescent="0.15">
      <c r="A137" s="7" t="s">
        <v>28</v>
      </c>
      <c r="B137" s="25" t="s">
        <v>13</v>
      </c>
      <c r="C137" s="8" t="s">
        <v>29</v>
      </c>
      <c r="D137" s="18" t="str">
        <f>$K$5</f>
        <v>psi</v>
      </c>
      <c r="F137" s="14" t="s">
        <v>28</v>
      </c>
      <c r="G137" s="9" t="str">
        <f>B137</f>
        <v>CH10</v>
      </c>
      <c r="H137" s="4"/>
      <c r="I137" s="8"/>
      <c r="J137" s="3"/>
      <c r="K137" s="9"/>
    </row>
    <row r="138" spans="1:11" ht="15" customHeight="1" x14ac:dyDescent="0.15">
      <c r="A138" s="34" t="s">
        <v>27</v>
      </c>
      <c r="B138" s="34" t="s">
        <v>27</v>
      </c>
      <c r="C138" s="45" t="s">
        <v>30</v>
      </c>
      <c r="D138" s="38" t="s">
        <v>3</v>
      </c>
      <c r="F138" s="33" t="s">
        <v>27</v>
      </c>
      <c r="G138" s="40" t="s">
        <v>38</v>
      </c>
      <c r="H138" s="39" t="s">
        <v>22</v>
      </c>
      <c r="I138" s="36" t="s">
        <v>37</v>
      </c>
      <c r="J138" s="36"/>
      <c r="K138" s="36"/>
    </row>
    <row r="139" spans="1:11" x14ac:dyDescent="0.15">
      <c r="A139" s="35"/>
      <c r="B139" s="35"/>
      <c r="C139" s="46"/>
      <c r="D139" s="38"/>
      <c r="F139" s="32" t="str">
        <f>"（"&amp;$K$5&amp;"）"</f>
        <v>（psi）</v>
      </c>
      <c r="G139" s="41"/>
      <c r="H139" s="39"/>
      <c r="I139" s="36"/>
      <c r="J139" s="36"/>
      <c r="K139" s="36"/>
    </row>
    <row r="140" spans="1:11" x14ac:dyDescent="0.15">
      <c r="A140" s="20">
        <v>0</v>
      </c>
      <c r="B140" s="20">
        <v>0</v>
      </c>
      <c r="C140" s="21">
        <f>B140-A140</f>
        <v>0</v>
      </c>
      <c r="D140" s="6">
        <v>1.2999999999999999E-2</v>
      </c>
      <c r="F140" s="22">
        <f t="shared" ref="F140:F148" si="27">A140</f>
        <v>0</v>
      </c>
      <c r="G140" s="10">
        <f t="shared" ref="G140:G148" si="28">ABS(C140)/($K$6-$I$6)</f>
        <v>0</v>
      </c>
      <c r="H140" s="42">
        <f>MAX(G140:G148)</f>
        <v>0</v>
      </c>
      <c r="I140" s="37"/>
      <c r="J140" s="37"/>
      <c r="K140" s="37"/>
    </row>
    <row r="141" spans="1:11" x14ac:dyDescent="0.15">
      <c r="A141" s="20">
        <v>0</v>
      </c>
      <c r="B141" s="20">
        <v>0</v>
      </c>
      <c r="C141" s="21">
        <f t="shared" ref="C141:C148" si="29">B141-A141</f>
        <v>0</v>
      </c>
      <c r="D141" s="6">
        <v>1.2999999999999999E-2</v>
      </c>
      <c r="F141" s="22">
        <f t="shared" si="27"/>
        <v>0</v>
      </c>
      <c r="G141" s="10">
        <f t="shared" si="28"/>
        <v>0</v>
      </c>
      <c r="H141" s="43"/>
      <c r="I141" s="37"/>
      <c r="J141" s="37"/>
      <c r="K141" s="37"/>
    </row>
    <row r="142" spans="1:11" x14ac:dyDescent="0.15">
      <c r="A142" s="20">
        <v>0</v>
      </c>
      <c r="B142" s="20">
        <v>0</v>
      </c>
      <c r="C142" s="21">
        <f t="shared" si="29"/>
        <v>0</v>
      </c>
      <c r="D142" s="6">
        <v>1.2999999999999999E-2</v>
      </c>
      <c r="F142" s="22">
        <f t="shared" si="27"/>
        <v>0</v>
      </c>
      <c r="G142" s="10">
        <f t="shared" si="28"/>
        <v>0</v>
      </c>
      <c r="H142" s="43"/>
      <c r="I142" s="37"/>
      <c r="J142" s="37"/>
      <c r="K142" s="37"/>
    </row>
    <row r="143" spans="1:11" x14ac:dyDescent="0.15">
      <c r="A143" s="20">
        <v>0</v>
      </c>
      <c r="B143" s="20">
        <v>0</v>
      </c>
      <c r="C143" s="21">
        <f t="shared" si="29"/>
        <v>0</v>
      </c>
      <c r="D143" s="6">
        <v>1.2999999999999999E-2</v>
      </c>
      <c r="F143" s="22">
        <f t="shared" si="27"/>
        <v>0</v>
      </c>
      <c r="G143" s="10">
        <f t="shared" si="28"/>
        <v>0</v>
      </c>
      <c r="H143" s="43"/>
      <c r="I143" s="37"/>
      <c r="J143" s="37"/>
      <c r="K143" s="37"/>
    </row>
    <row r="144" spans="1:11" x14ac:dyDescent="0.15">
      <c r="A144" s="20">
        <v>0</v>
      </c>
      <c r="B144" s="20">
        <v>0</v>
      </c>
      <c r="C144" s="21">
        <f t="shared" si="29"/>
        <v>0</v>
      </c>
      <c r="D144" s="6">
        <v>1.2999999999999999E-2</v>
      </c>
      <c r="F144" s="22">
        <f t="shared" si="27"/>
        <v>0</v>
      </c>
      <c r="G144" s="10">
        <f t="shared" si="28"/>
        <v>0</v>
      </c>
      <c r="H144" s="43"/>
      <c r="I144" s="37"/>
      <c r="J144" s="37"/>
      <c r="K144" s="37"/>
    </row>
    <row r="145" spans="1:11" x14ac:dyDescent="0.15">
      <c r="A145" s="20">
        <v>0</v>
      </c>
      <c r="B145" s="20">
        <v>0</v>
      </c>
      <c r="C145" s="21">
        <f t="shared" si="29"/>
        <v>0</v>
      </c>
      <c r="D145" s="6">
        <v>1.2999999999999999E-2</v>
      </c>
      <c r="F145" s="22">
        <f t="shared" si="27"/>
        <v>0</v>
      </c>
      <c r="G145" s="10">
        <f t="shared" si="28"/>
        <v>0</v>
      </c>
      <c r="H145" s="43"/>
      <c r="I145" s="37"/>
      <c r="J145" s="37"/>
      <c r="K145" s="37"/>
    </row>
    <row r="146" spans="1:11" x14ac:dyDescent="0.15">
      <c r="A146" s="20">
        <v>0</v>
      </c>
      <c r="B146" s="20">
        <v>0</v>
      </c>
      <c r="C146" s="21">
        <f t="shared" si="29"/>
        <v>0</v>
      </c>
      <c r="D146" s="6">
        <v>1.2999999999999999E-2</v>
      </c>
      <c r="F146" s="22">
        <f t="shared" si="27"/>
        <v>0</v>
      </c>
      <c r="G146" s="10">
        <f t="shared" si="28"/>
        <v>0</v>
      </c>
      <c r="H146" s="43"/>
      <c r="I146" s="37"/>
      <c r="J146" s="37"/>
      <c r="K146" s="37"/>
    </row>
    <row r="147" spans="1:11" x14ac:dyDescent="0.15">
      <c r="A147" s="20">
        <v>0</v>
      </c>
      <c r="B147" s="20">
        <v>0</v>
      </c>
      <c r="C147" s="21">
        <f t="shared" si="29"/>
        <v>0</v>
      </c>
      <c r="D147" s="6">
        <v>1.2999999999999999E-2</v>
      </c>
      <c r="F147" s="22">
        <f t="shared" si="27"/>
        <v>0</v>
      </c>
      <c r="G147" s="10">
        <f t="shared" si="28"/>
        <v>0</v>
      </c>
      <c r="H147" s="43"/>
      <c r="I147" s="37"/>
      <c r="J147" s="37"/>
      <c r="K147" s="37"/>
    </row>
    <row r="148" spans="1:11" x14ac:dyDescent="0.15">
      <c r="A148" s="20">
        <v>0</v>
      </c>
      <c r="B148" s="20">
        <v>0</v>
      </c>
      <c r="C148" s="21">
        <f t="shared" si="29"/>
        <v>0</v>
      </c>
      <c r="D148" s="6">
        <v>1.2999999999999999E-2</v>
      </c>
      <c r="F148" s="22">
        <f t="shared" si="27"/>
        <v>0</v>
      </c>
      <c r="G148" s="10">
        <f t="shared" si="28"/>
        <v>0</v>
      </c>
      <c r="H148" s="44"/>
      <c r="I148" s="37"/>
      <c r="J148" s="37"/>
      <c r="K148" s="37"/>
    </row>
    <row r="149" spans="1:11" x14ac:dyDescent="0.15">
      <c r="A149" s="28"/>
      <c r="B149" s="28"/>
      <c r="C149" s="29"/>
      <c r="D149" s="30"/>
      <c r="F149" s="31"/>
      <c r="G149" s="26"/>
      <c r="H149" s="26"/>
      <c r="I149" s="26"/>
      <c r="J149" s="26"/>
      <c r="K149" s="26"/>
    </row>
    <row r="151" spans="1:11" x14ac:dyDescent="0.15">
      <c r="A151" s="7" t="s">
        <v>28</v>
      </c>
      <c r="B151" s="25" t="s">
        <v>14</v>
      </c>
      <c r="C151" s="8" t="s">
        <v>29</v>
      </c>
      <c r="D151" s="18" t="str">
        <f>$K$5</f>
        <v>psi</v>
      </c>
      <c r="F151" s="14" t="s">
        <v>28</v>
      </c>
      <c r="G151" s="9" t="str">
        <f>B151</f>
        <v>CH11</v>
      </c>
      <c r="H151" s="4"/>
      <c r="I151" s="8"/>
      <c r="J151" s="3"/>
      <c r="K151" s="9"/>
    </row>
    <row r="152" spans="1:11" ht="15" customHeight="1" x14ac:dyDescent="0.15">
      <c r="A152" s="34" t="s">
        <v>27</v>
      </c>
      <c r="B152" s="34" t="s">
        <v>27</v>
      </c>
      <c r="C152" s="45" t="s">
        <v>30</v>
      </c>
      <c r="D152" s="38" t="s">
        <v>3</v>
      </c>
      <c r="F152" s="33" t="s">
        <v>27</v>
      </c>
      <c r="G152" s="40" t="s">
        <v>38</v>
      </c>
      <c r="H152" s="39" t="s">
        <v>22</v>
      </c>
      <c r="I152" s="36" t="s">
        <v>37</v>
      </c>
      <c r="J152" s="36"/>
      <c r="K152" s="36"/>
    </row>
    <row r="153" spans="1:11" x14ac:dyDescent="0.15">
      <c r="A153" s="35"/>
      <c r="B153" s="35"/>
      <c r="C153" s="46"/>
      <c r="D153" s="38"/>
      <c r="F153" s="32" t="str">
        <f>"（"&amp;$K$5&amp;"）"</f>
        <v>（psi）</v>
      </c>
      <c r="G153" s="41"/>
      <c r="H153" s="39"/>
      <c r="I153" s="36"/>
      <c r="J153" s="36"/>
      <c r="K153" s="36"/>
    </row>
    <row r="154" spans="1:11" x14ac:dyDescent="0.15">
      <c r="A154" s="20">
        <v>0</v>
      </c>
      <c r="B154" s="20">
        <v>0</v>
      </c>
      <c r="C154" s="21">
        <f>B154-A154</f>
        <v>0</v>
      </c>
      <c r="D154" s="6">
        <v>1.2999999999999999E-2</v>
      </c>
      <c r="F154" s="22">
        <f t="shared" ref="F154:F162" si="30">A154</f>
        <v>0</v>
      </c>
      <c r="G154" s="10">
        <f t="shared" ref="G154:G162" si="31">ABS(C154)/($K$6-$I$6)</f>
        <v>0</v>
      </c>
      <c r="H154" s="42">
        <f>MAX(G154:G162)</f>
        <v>0</v>
      </c>
      <c r="I154" s="37"/>
      <c r="J154" s="37"/>
      <c r="K154" s="37"/>
    </row>
    <row r="155" spans="1:11" x14ac:dyDescent="0.15">
      <c r="A155" s="20">
        <v>0</v>
      </c>
      <c r="B155" s="20">
        <v>0</v>
      </c>
      <c r="C155" s="21">
        <f t="shared" ref="C155:C162" si="32">B155-A155</f>
        <v>0</v>
      </c>
      <c r="D155" s="6">
        <v>1.2999999999999999E-2</v>
      </c>
      <c r="F155" s="22">
        <f t="shared" si="30"/>
        <v>0</v>
      </c>
      <c r="G155" s="10">
        <f t="shared" si="31"/>
        <v>0</v>
      </c>
      <c r="H155" s="43"/>
      <c r="I155" s="37"/>
      <c r="J155" s="37"/>
      <c r="K155" s="37"/>
    </row>
    <row r="156" spans="1:11" x14ac:dyDescent="0.15">
      <c r="A156" s="20">
        <v>0</v>
      </c>
      <c r="B156" s="20">
        <v>0</v>
      </c>
      <c r="C156" s="21">
        <f t="shared" si="32"/>
        <v>0</v>
      </c>
      <c r="D156" s="6">
        <v>1.2999999999999999E-2</v>
      </c>
      <c r="F156" s="22">
        <f t="shared" si="30"/>
        <v>0</v>
      </c>
      <c r="G156" s="10">
        <f t="shared" si="31"/>
        <v>0</v>
      </c>
      <c r="H156" s="43"/>
      <c r="I156" s="37"/>
      <c r="J156" s="37"/>
      <c r="K156" s="37"/>
    </row>
    <row r="157" spans="1:11" x14ac:dyDescent="0.15">
      <c r="A157" s="20">
        <v>0</v>
      </c>
      <c r="B157" s="20">
        <v>0</v>
      </c>
      <c r="C157" s="21">
        <f t="shared" si="32"/>
        <v>0</v>
      </c>
      <c r="D157" s="6">
        <v>1.2999999999999999E-2</v>
      </c>
      <c r="F157" s="22">
        <f t="shared" si="30"/>
        <v>0</v>
      </c>
      <c r="G157" s="10">
        <f t="shared" si="31"/>
        <v>0</v>
      </c>
      <c r="H157" s="43"/>
      <c r="I157" s="37"/>
      <c r="J157" s="37"/>
      <c r="K157" s="37"/>
    </row>
    <row r="158" spans="1:11" x14ac:dyDescent="0.15">
      <c r="A158" s="20">
        <v>0</v>
      </c>
      <c r="B158" s="20">
        <v>0</v>
      </c>
      <c r="C158" s="21">
        <f t="shared" si="32"/>
        <v>0</v>
      </c>
      <c r="D158" s="6">
        <v>1.2999999999999999E-2</v>
      </c>
      <c r="F158" s="22">
        <f t="shared" si="30"/>
        <v>0</v>
      </c>
      <c r="G158" s="10">
        <f t="shared" si="31"/>
        <v>0</v>
      </c>
      <c r="H158" s="43"/>
      <c r="I158" s="37"/>
      <c r="J158" s="37"/>
      <c r="K158" s="37"/>
    </row>
    <row r="159" spans="1:11" x14ac:dyDescent="0.15">
      <c r="A159" s="20">
        <v>0</v>
      </c>
      <c r="B159" s="20">
        <v>0</v>
      </c>
      <c r="C159" s="21">
        <f t="shared" si="32"/>
        <v>0</v>
      </c>
      <c r="D159" s="6">
        <v>1.2999999999999999E-2</v>
      </c>
      <c r="F159" s="22">
        <f t="shared" si="30"/>
        <v>0</v>
      </c>
      <c r="G159" s="10">
        <f t="shared" si="31"/>
        <v>0</v>
      </c>
      <c r="H159" s="43"/>
      <c r="I159" s="37"/>
      <c r="J159" s="37"/>
      <c r="K159" s="37"/>
    </row>
    <row r="160" spans="1:11" x14ac:dyDescent="0.15">
      <c r="A160" s="20">
        <v>0</v>
      </c>
      <c r="B160" s="20">
        <v>0</v>
      </c>
      <c r="C160" s="21">
        <f t="shared" si="32"/>
        <v>0</v>
      </c>
      <c r="D160" s="6">
        <v>1.2999999999999999E-2</v>
      </c>
      <c r="F160" s="22">
        <f t="shared" si="30"/>
        <v>0</v>
      </c>
      <c r="G160" s="10">
        <f t="shared" si="31"/>
        <v>0</v>
      </c>
      <c r="H160" s="43"/>
      <c r="I160" s="37"/>
      <c r="J160" s="37"/>
      <c r="K160" s="37"/>
    </row>
    <row r="161" spans="1:11" x14ac:dyDescent="0.15">
      <c r="A161" s="20">
        <v>0</v>
      </c>
      <c r="B161" s="20">
        <v>0</v>
      </c>
      <c r="C161" s="21">
        <f t="shared" si="32"/>
        <v>0</v>
      </c>
      <c r="D161" s="6">
        <v>1.2999999999999999E-2</v>
      </c>
      <c r="F161" s="22">
        <f t="shared" si="30"/>
        <v>0</v>
      </c>
      <c r="G161" s="10">
        <f t="shared" si="31"/>
        <v>0</v>
      </c>
      <c r="H161" s="43"/>
      <c r="I161" s="37"/>
      <c r="J161" s="37"/>
      <c r="K161" s="37"/>
    </row>
    <row r="162" spans="1:11" x14ac:dyDescent="0.15">
      <c r="A162" s="20">
        <v>0</v>
      </c>
      <c r="B162" s="20">
        <v>0</v>
      </c>
      <c r="C162" s="21">
        <f t="shared" si="32"/>
        <v>0</v>
      </c>
      <c r="D162" s="6">
        <v>1.2999999999999999E-2</v>
      </c>
      <c r="F162" s="22">
        <f t="shared" si="30"/>
        <v>0</v>
      </c>
      <c r="G162" s="10">
        <f t="shared" si="31"/>
        <v>0</v>
      </c>
      <c r="H162" s="44"/>
      <c r="I162" s="37"/>
      <c r="J162" s="37"/>
      <c r="K162" s="37"/>
    </row>
    <row r="163" spans="1:11" x14ac:dyDescent="0.15">
      <c r="A163" s="28"/>
      <c r="B163" s="28"/>
      <c r="C163" s="29"/>
      <c r="D163" s="30"/>
      <c r="F163" s="31"/>
      <c r="G163" s="26"/>
      <c r="H163" s="26"/>
      <c r="I163" s="26"/>
      <c r="J163" s="26"/>
      <c r="K163" s="26"/>
    </row>
    <row r="165" spans="1:11" x14ac:dyDescent="0.15">
      <c r="A165" s="7" t="s">
        <v>28</v>
      </c>
      <c r="B165" s="25" t="s">
        <v>15</v>
      </c>
      <c r="C165" s="8" t="s">
        <v>29</v>
      </c>
      <c r="D165" s="18" t="str">
        <f>$K$5</f>
        <v>psi</v>
      </c>
      <c r="F165" s="14" t="s">
        <v>28</v>
      </c>
      <c r="G165" s="9" t="str">
        <f>B165</f>
        <v>CH12</v>
      </c>
      <c r="H165" s="4"/>
      <c r="I165" s="8"/>
      <c r="J165" s="3"/>
      <c r="K165" s="9"/>
    </row>
    <row r="166" spans="1:11" ht="15" customHeight="1" x14ac:dyDescent="0.15">
      <c r="A166" s="34" t="s">
        <v>27</v>
      </c>
      <c r="B166" s="34" t="s">
        <v>27</v>
      </c>
      <c r="C166" s="45" t="s">
        <v>30</v>
      </c>
      <c r="D166" s="38" t="s">
        <v>3</v>
      </c>
      <c r="F166" s="33" t="s">
        <v>27</v>
      </c>
      <c r="G166" s="40" t="s">
        <v>38</v>
      </c>
      <c r="H166" s="39" t="s">
        <v>22</v>
      </c>
      <c r="I166" s="36" t="s">
        <v>37</v>
      </c>
      <c r="J166" s="36"/>
      <c r="K166" s="36"/>
    </row>
    <row r="167" spans="1:11" x14ac:dyDescent="0.15">
      <c r="A167" s="35"/>
      <c r="B167" s="35"/>
      <c r="C167" s="46"/>
      <c r="D167" s="38"/>
      <c r="F167" s="32" t="str">
        <f>"（"&amp;$K$5&amp;"）"</f>
        <v>（psi）</v>
      </c>
      <c r="G167" s="41"/>
      <c r="H167" s="39"/>
      <c r="I167" s="36"/>
      <c r="J167" s="36"/>
      <c r="K167" s="36"/>
    </row>
    <row r="168" spans="1:11" x14ac:dyDescent="0.15">
      <c r="A168" s="20">
        <v>0</v>
      </c>
      <c r="B168" s="20">
        <v>0</v>
      </c>
      <c r="C168" s="21">
        <f>B168-A168</f>
        <v>0</v>
      </c>
      <c r="D168" s="6">
        <v>1.2999999999999999E-2</v>
      </c>
      <c r="F168" s="22">
        <f t="shared" ref="F168:F176" si="33">A168</f>
        <v>0</v>
      </c>
      <c r="G168" s="10">
        <f t="shared" ref="G168:G176" si="34">ABS(C168)/($K$6-$I$6)</f>
        <v>0</v>
      </c>
      <c r="H168" s="42">
        <f>MAX(G168:G176)</f>
        <v>0</v>
      </c>
      <c r="I168" s="37"/>
      <c r="J168" s="37"/>
      <c r="K168" s="37"/>
    </row>
    <row r="169" spans="1:11" x14ac:dyDescent="0.15">
      <c r="A169" s="20">
        <v>0</v>
      </c>
      <c r="B169" s="20">
        <v>0</v>
      </c>
      <c r="C169" s="21">
        <f t="shared" ref="C169:C176" si="35">B169-A169</f>
        <v>0</v>
      </c>
      <c r="D169" s="6">
        <v>1.2999999999999999E-2</v>
      </c>
      <c r="F169" s="22">
        <f t="shared" si="33"/>
        <v>0</v>
      </c>
      <c r="G169" s="10">
        <f t="shared" si="34"/>
        <v>0</v>
      </c>
      <c r="H169" s="43"/>
      <c r="I169" s="37"/>
      <c r="J169" s="37"/>
      <c r="K169" s="37"/>
    </row>
    <row r="170" spans="1:11" x14ac:dyDescent="0.15">
      <c r="A170" s="20">
        <v>0</v>
      </c>
      <c r="B170" s="20">
        <v>0</v>
      </c>
      <c r="C170" s="21">
        <f t="shared" si="35"/>
        <v>0</v>
      </c>
      <c r="D170" s="6">
        <v>1.2999999999999999E-2</v>
      </c>
      <c r="F170" s="22">
        <f t="shared" si="33"/>
        <v>0</v>
      </c>
      <c r="G170" s="10">
        <f t="shared" si="34"/>
        <v>0</v>
      </c>
      <c r="H170" s="43"/>
      <c r="I170" s="37"/>
      <c r="J170" s="37"/>
      <c r="K170" s="37"/>
    </row>
    <row r="171" spans="1:11" x14ac:dyDescent="0.15">
      <c r="A171" s="20">
        <v>0</v>
      </c>
      <c r="B171" s="20">
        <v>0</v>
      </c>
      <c r="C171" s="21">
        <f t="shared" si="35"/>
        <v>0</v>
      </c>
      <c r="D171" s="6">
        <v>1.2999999999999999E-2</v>
      </c>
      <c r="F171" s="22">
        <f t="shared" si="33"/>
        <v>0</v>
      </c>
      <c r="G171" s="10">
        <f t="shared" si="34"/>
        <v>0</v>
      </c>
      <c r="H171" s="43"/>
      <c r="I171" s="37"/>
      <c r="J171" s="37"/>
      <c r="K171" s="37"/>
    </row>
    <row r="172" spans="1:11" x14ac:dyDescent="0.15">
      <c r="A172" s="20">
        <v>0</v>
      </c>
      <c r="B172" s="20">
        <v>0</v>
      </c>
      <c r="C172" s="21">
        <f t="shared" si="35"/>
        <v>0</v>
      </c>
      <c r="D172" s="6">
        <v>1.2999999999999999E-2</v>
      </c>
      <c r="F172" s="22">
        <f t="shared" si="33"/>
        <v>0</v>
      </c>
      <c r="G172" s="10">
        <f t="shared" si="34"/>
        <v>0</v>
      </c>
      <c r="H172" s="43"/>
      <c r="I172" s="37"/>
      <c r="J172" s="37"/>
      <c r="K172" s="37"/>
    </row>
    <row r="173" spans="1:11" x14ac:dyDescent="0.15">
      <c r="A173" s="20">
        <v>0</v>
      </c>
      <c r="B173" s="20">
        <v>0</v>
      </c>
      <c r="C173" s="21">
        <f t="shared" si="35"/>
        <v>0</v>
      </c>
      <c r="D173" s="6">
        <v>1.2999999999999999E-2</v>
      </c>
      <c r="F173" s="22">
        <f t="shared" si="33"/>
        <v>0</v>
      </c>
      <c r="G173" s="10">
        <f t="shared" si="34"/>
        <v>0</v>
      </c>
      <c r="H173" s="43"/>
      <c r="I173" s="37"/>
      <c r="J173" s="37"/>
      <c r="K173" s="37"/>
    </row>
    <row r="174" spans="1:11" x14ac:dyDescent="0.15">
      <c r="A174" s="20">
        <v>0</v>
      </c>
      <c r="B174" s="20">
        <v>0</v>
      </c>
      <c r="C174" s="21">
        <f t="shared" si="35"/>
        <v>0</v>
      </c>
      <c r="D174" s="6">
        <v>1.2999999999999999E-2</v>
      </c>
      <c r="F174" s="22">
        <f t="shared" si="33"/>
        <v>0</v>
      </c>
      <c r="G174" s="10">
        <f t="shared" si="34"/>
        <v>0</v>
      </c>
      <c r="H174" s="43"/>
      <c r="I174" s="37"/>
      <c r="J174" s="37"/>
      <c r="K174" s="37"/>
    </row>
    <row r="175" spans="1:11" x14ac:dyDescent="0.15">
      <c r="A175" s="20">
        <v>0</v>
      </c>
      <c r="B175" s="20">
        <v>0</v>
      </c>
      <c r="C175" s="21">
        <f t="shared" si="35"/>
        <v>0</v>
      </c>
      <c r="D175" s="6">
        <v>1.2999999999999999E-2</v>
      </c>
      <c r="F175" s="22">
        <f t="shared" si="33"/>
        <v>0</v>
      </c>
      <c r="G175" s="10">
        <f t="shared" si="34"/>
        <v>0</v>
      </c>
      <c r="H175" s="43"/>
      <c r="I175" s="37"/>
      <c r="J175" s="37"/>
      <c r="K175" s="37"/>
    </row>
    <row r="176" spans="1:11" x14ac:dyDescent="0.15">
      <c r="A176" s="20">
        <v>0</v>
      </c>
      <c r="B176" s="20">
        <v>0</v>
      </c>
      <c r="C176" s="21">
        <f t="shared" si="35"/>
        <v>0</v>
      </c>
      <c r="D176" s="6">
        <v>1.2999999999999999E-2</v>
      </c>
      <c r="F176" s="22">
        <f t="shared" si="33"/>
        <v>0</v>
      </c>
      <c r="G176" s="10">
        <f t="shared" si="34"/>
        <v>0</v>
      </c>
      <c r="H176" s="44"/>
      <c r="I176" s="37"/>
      <c r="J176" s="37"/>
      <c r="K176" s="37"/>
    </row>
    <row r="177" spans="1:11" x14ac:dyDescent="0.15">
      <c r="F177" s="31"/>
      <c r="G177" s="26"/>
      <c r="H177" s="26"/>
      <c r="I177" s="26"/>
      <c r="J177" s="26"/>
      <c r="K177" s="26"/>
    </row>
    <row r="181" spans="1:11" x14ac:dyDescent="0.15">
      <c r="A181" s="7" t="s">
        <v>28</v>
      </c>
      <c r="B181" s="25" t="s">
        <v>16</v>
      </c>
      <c r="C181" s="8" t="s">
        <v>29</v>
      </c>
      <c r="D181" s="18" t="str">
        <f>$K$5</f>
        <v>psi</v>
      </c>
      <c r="F181" s="14" t="s">
        <v>28</v>
      </c>
      <c r="G181" s="9" t="str">
        <f>B181</f>
        <v>CH13</v>
      </c>
      <c r="H181" s="4"/>
      <c r="I181" s="8"/>
      <c r="J181" s="3"/>
      <c r="K181" s="9"/>
    </row>
    <row r="182" spans="1:11" ht="15" customHeight="1" x14ac:dyDescent="0.15">
      <c r="A182" s="34" t="s">
        <v>27</v>
      </c>
      <c r="B182" s="34" t="s">
        <v>27</v>
      </c>
      <c r="C182" s="45" t="s">
        <v>30</v>
      </c>
      <c r="D182" s="38" t="s">
        <v>3</v>
      </c>
      <c r="F182" s="33" t="s">
        <v>27</v>
      </c>
      <c r="G182" s="40" t="s">
        <v>38</v>
      </c>
      <c r="H182" s="39" t="s">
        <v>22</v>
      </c>
      <c r="I182" s="36" t="s">
        <v>37</v>
      </c>
      <c r="J182" s="36"/>
      <c r="K182" s="36"/>
    </row>
    <row r="183" spans="1:11" x14ac:dyDescent="0.15">
      <c r="A183" s="35"/>
      <c r="B183" s="35"/>
      <c r="C183" s="46"/>
      <c r="D183" s="38"/>
      <c r="F183" s="32" t="str">
        <f>"（"&amp;$K$5&amp;"）"</f>
        <v>（psi）</v>
      </c>
      <c r="G183" s="41"/>
      <c r="H183" s="39"/>
      <c r="I183" s="36"/>
      <c r="J183" s="36"/>
      <c r="K183" s="36"/>
    </row>
    <row r="184" spans="1:11" x14ac:dyDescent="0.15">
      <c r="A184" s="20">
        <v>0</v>
      </c>
      <c r="B184" s="20">
        <v>0</v>
      </c>
      <c r="C184" s="21">
        <f>B184-A184</f>
        <v>0</v>
      </c>
      <c r="D184" s="6">
        <v>1.2999999999999999E-2</v>
      </c>
      <c r="F184" s="22">
        <f t="shared" ref="F184:F192" si="36">A184</f>
        <v>0</v>
      </c>
      <c r="G184" s="10">
        <f t="shared" ref="G184:G192" si="37">ABS(C184)/($K$6-$I$6)</f>
        <v>0</v>
      </c>
      <c r="H184" s="42">
        <f>MAX(G184:G192)</f>
        <v>0</v>
      </c>
      <c r="I184" s="37"/>
      <c r="J184" s="37"/>
      <c r="K184" s="37"/>
    </row>
    <row r="185" spans="1:11" x14ac:dyDescent="0.15">
      <c r="A185" s="20">
        <v>0</v>
      </c>
      <c r="B185" s="20">
        <v>0</v>
      </c>
      <c r="C185" s="21">
        <f t="shared" ref="C185:C192" si="38">B185-A185</f>
        <v>0</v>
      </c>
      <c r="D185" s="6">
        <v>1.2999999999999999E-2</v>
      </c>
      <c r="F185" s="22">
        <f t="shared" si="36"/>
        <v>0</v>
      </c>
      <c r="G185" s="10">
        <f t="shared" si="37"/>
        <v>0</v>
      </c>
      <c r="H185" s="43"/>
      <c r="I185" s="37"/>
      <c r="J185" s="37"/>
      <c r="K185" s="37"/>
    </row>
    <row r="186" spans="1:11" x14ac:dyDescent="0.15">
      <c r="A186" s="20">
        <v>0</v>
      </c>
      <c r="B186" s="20">
        <v>0</v>
      </c>
      <c r="C186" s="21">
        <f t="shared" si="38"/>
        <v>0</v>
      </c>
      <c r="D186" s="6">
        <v>1.2999999999999999E-2</v>
      </c>
      <c r="F186" s="22">
        <f t="shared" si="36"/>
        <v>0</v>
      </c>
      <c r="G186" s="10">
        <f t="shared" si="37"/>
        <v>0</v>
      </c>
      <c r="H186" s="43"/>
      <c r="I186" s="37"/>
      <c r="J186" s="37"/>
      <c r="K186" s="37"/>
    </row>
    <row r="187" spans="1:11" x14ac:dyDescent="0.15">
      <c r="A187" s="20">
        <v>0</v>
      </c>
      <c r="B187" s="20">
        <v>0</v>
      </c>
      <c r="C187" s="21">
        <f t="shared" si="38"/>
        <v>0</v>
      </c>
      <c r="D187" s="6">
        <v>1.2999999999999999E-2</v>
      </c>
      <c r="F187" s="22">
        <f t="shared" si="36"/>
        <v>0</v>
      </c>
      <c r="G187" s="10">
        <f t="shared" si="37"/>
        <v>0</v>
      </c>
      <c r="H187" s="43"/>
      <c r="I187" s="37"/>
      <c r="J187" s="37"/>
      <c r="K187" s="37"/>
    </row>
    <row r="188" spans="1:11" x14ac:dyDescent="0.15">
      <c r="A188" s="20">
        <v>0</v>
      </c>
      <c r="B188" s="20">
        <v>0</v>
      </c>
      <c r="C188" s="21">
        <f t="shared" si="38"/>
        <v>0</v>
      </c>
      <c r="D188" s="6">
        <v>1.2999999999999999E-2</v>
      </c>
      <c r="F188" s="22">
        <f t="shared" si="36"/>
        <v>0</v>
      </c>
      <c r="G188" s="10">
        <f t="shared" si="37"/>
        <v>0</v>
      </c>
      <c r="H188" s="43"/>
      <c r="I188" s="37"/>
      <c r="J188" s="37"/>
      <c r="K188" s="37"/>
    </row>
    <row r="189" spans="1:11" x14ac:dyDescent="0.15">
      <c r="A189" s="20">
        <v>0</v>
      </c>
      <c r="B189" s="20">
        <v>0</v>
      </c>
      <c r="C189" s="21">
        <f t="shared" si="38"/>
        <v>0</v>
      </c>
      <c r="D189" s="6">
        <v>1.2999999999999999E-2</v>
      </c>
      <c r="F189" s="22">
        <f t="shared" si="36"/>
        <v>0</v>
      </c>
      <c r="G189" s="10">
        <f t="shared" si="37"/>
        <v>0</v>
      </c>
      <c r="H189" s="43"/>
      <c r="I189" s="37"/>
      <c r="J189" s="37"/>
      <c r="K189" s="37"/>
    </row>
    <row r="190" spans="1:11" x14ac:dyDescent="0.15">
      <c r="A190" s="20">
        <v>0</v>
      </c>
      <c r="B190" s="20">
        <v>0</v>
      </c>
      <c r="C190" s="21">
        <f t="shared" si="38"/>
        <v>0</v>
      </c>
      <c r="D190" s="6">
        <v>1.2999999999999999E-2</v>
      </c>
      <c r="F190" s="22">
        <f t="shared" si="36"/>
        <v>0</v>
      </c>
      <c r="G190" s="10">
        <f t="shared" si="37"/>
        <v>0</v>
      </c>
      <c r="H190" s="43"/>
      <c r="I190" s="37"/>
      <c r="J190" s="37"/>
      <c r="K190" s="37"/>
    </row>
    <row r="191" spans="1:11" x14ac:dyDescent="0.15">
      <c r="A191" s="20">
        <v>0</v>
      </c>
      <c r="B191" s="20">
        <v>0</v>
      </c>
      <c r="C191" s="21">
        <f t="shared" si="38"/>
        <v>0</v>
      </c>
      <c r="D191" s="6">
        <v>1.2999999999999999E-2</v>
      </c>
      <c r="F191" s="22">
        <f t="shared" si="36"/>
        <v>0</v>
      </c>
      <c r="G191" s="10">
        <f t="shared" si="37"/>
        <v>0</v>
      </c>
      <c r="H191" s="43"/>
      <c r="I191" s="37"/>
      <c r="J191" s="37"/>
      <c r="K191" s="37"/>
    </row>
    <row r="192" spans="1:11" x14ac:dyDescent="0.15">
      <c r="A192" s="20">
        <v>0</v>
      </c>
      <c r="B192" s="20">
        <v>0</v>
      </c>
      <c r="C192" s="21">
        <f t="shared" si="38"/>
        <v>0</v>
      </c>
      <c r="D192" s="6">
        <v>1.2999999999999999E-2</v>
      </c>
      <c r="F192" s="22">
        <f t="shared" si="36"/>
        <v>0</v>
      </c>
      <c r="G192" s="10">
        <f t="shared" si="37"/>
        <v>0</v>
      </c>
      <c r="H192" s="44"/>
      <c r="I192" s="37"/>
      <c r="J192" s="37"/>
      <c r="K192" s="37"/>
    </row>
    <row r="193" spans="1:11" x14ac:dyDescent="0.15">
      <c r="A193" s="28"/>
      <c r="B193" s="28"/>
      <c r="C193" s="29"/>
      <c r="D193" s="30"/>
      <c r="F193" s="31"/>
      <c r="G193" s="26"/>
      <c r="H193" s="26"/>
      <c r="I193" s="26"/>
      <c r="J193" s="26"/>
      <c r="K193" s="26"/>
    </row>
    <row r="195" spans="1:11" x14ac:dyDescent="0.15">
      <c r="A195" s="7" t="s">
        <v>28</v>
      </c>
      <c r="B195" s="25" t="s">
        <v>17</v>
      </c>
      <c r="C195" s="8" t="s">
        <v>29</v>
      </c>
      <c r="D195" s="18" t="str">
        <f>$K$5</f>
        <v>psi</v>
      </c>
      <c r="F195" s="14" t="s">
        <v>28</v>
      </c>
      <c r="G195" s="9" t="str">
        <f>B195</f>
        <v>CH14</v>
      </c>
      <c r="H195" s="4"/>
      <c r="I195" s="8"/>
      <c r="J195" s="3"/>
      <c r="K195" s="9"/>
    </row>
    <row r="196" spans="1:11" ht="15" customHeight="1" x14ac:dyDescent="0.15">
      <c r="A196" s="34" t="s">
        <v>27</v>
      </c>
      <c r="B196" s="34" t="s">
        <v>27</v>
      </c>
      <c r="C196" s="45" t="s">
        <v>30</v>
      </c>
      <c r="D196" s="38" t="s">
        <v>3</v>
      </c>
      <c r="F196" s="33" t="s">
        <v>27</v>
      </c>
      <c r="G196" s="40" t="s">
        <v>38</v>
      </c>
      <c r="H196" s="39" t="s">
        <v>22</v>
      </c>
      <c r="I196" s="36" t="s">
        <v>37</v>
      </c>
      <c r="J196" s="36"/>
      <c r="K196" s="36"/>
    </row>
    <row r="197" spans="1:11" x14ac:dyDescent="0.15">
      <c r="A197" s="35"/>
      <c r="B197" s="35"/>
      <c r="C197" s="46"/>
      <c r="D197" s="38"/>
      <c r="F197" s="32" t="str">
        <f>"（"&amp;$K$5&amp;"）"</f>
        <v>（psi）</v>
      </c>
      <c r="G197" s="41"/>
      <c r="H197" s="39"/>
      <c r="I197" s="36"/>
      <c r="J197" s="36"/>
      <c r="K197" s="36"/>
    </row>
    <row r="198" spans="1:11" x14ac:dyDescent="0.15">
      <c r="A198" s="20">
        <v>0</v>
      </c>
      <c r="B198" s="20">
        <v>0</v>
      </c>
      <c r="C198" s="21">
        <f>B198-A198</f>
        <v>0</v>
      </c>
      <c r="D198" s="6">
        <v>1.2999999999999999E-2</v>
      </c>
      <c r="F198" s="22">
        <f t="shared" ref="F198:F206" si="39">A198</f>
        <v>0</v>
      </c>
      <c r="G198" s="10">
        <f t="shared" ref="G198:G206" si="40">ABS(C198)/($K$6-$I$6)</f>
        <v>0</v>
      </c>
      <c r="H198" s="42">
        <f>MAX(G198:G206)</f>
        <v>0</v>
      </c>
      <c r="I198" s="37"/>
      <c r="J198" s="37"/>
      <c r="K198" s="37"/>
    </row>
    <row r="199" spans="1:11" x14ac:dyDescent="0.15">
      <c r="A199" s="20">
        <v>0</v>
      </c>
      <c r="B199" s="20">
        <v>0</v>
      </c>
      <c r="C199" s="21">
        <f t="shared" ref="C199:C206" si="41">B199-A199</f>
        <v>0</v>
      </c>
      <c r="D199" s="6">
        <v>1.2999999999999999E-2</v>
      </c>
      <c r="F199" s="22">
        <f t="shared" si="39"/>
        <v>0</v>
      </c>
      <c r="G199" s="10">
        <f t="shared" si="40"/>
        <v>0</v>
      </c>
      <c r="H199" s="43"/>
      <c r="I199" s="37"/>
      <c r="J199" s="37"/>
      <c r="K199" s="37"/>
    </row>
    <row r="200" spans="1:11" x14ac:dyDescent="0.15">
      <c r="A200" s="20">
        <v>0</v>
      </c>
      <c r="B200" s="20">
        <v>0</v>
      </c>
      <c r="C200" s="21">
        <f t="shared" si="41"/>
        <v>0</v>
      </c>
      <c r="D200" s="6">
        <v>1.2999999999999999E-2</v>
      </c>
      <c r="F200" s="22">
        <f t="shared" si="39"/>
        <v>0</v>
      </c>
      <c r="G200" s="10">
        <f t="shared" si="40"/>
        <v>0</v>
      </c>
      <c r="H200" s="43"/>
      <c r="I200" s="37"/>
      <c r="J200" s="37"/>
      <c r="K200" s="37"/>
    </row>
    <row r="201" spans="1:11" x14ac:dyDescent="0.15">
      <c r="A201" s="20">
        <v>0</v>
      </c>
      <c r="B201" s="20">
        <v>0</v>
      </c>
      <c r="C201" s="21">
        <f t="shared" si="41"/>
        <v>0</v>
      </c>
      <c r="D201" s="6">
        <v>1.2999999999999999E-2</v>
      </c>
      <c r="F201" s="22">
        <f t="shared" si="39"/>
        <v>0</v>
      </c>
      <c r="G201" s="10">
        <f t="shared" si="40"/>
        <v>0</v>
      </c>
      <c r="H201" s="43"/>
      <c r="I201" s="37"/>
      <c r="J201" s="37"/>
      <c r="K201" s="37"/>
    </row>
    <row r="202" spans="1:11" x14ac:dyDescent="0.15">
      <c r="A202" s="20">
        <v>0</v>
      </c>
      <c r="B202" s="20">
        <v>0</v>
      </c>
      <c r="C202" s="21">
        <f t="shared" si="41"/>
        <v>0</v>
      </c>
      <c r="D202" s="6">
        <v>1.2999999999999999E-2</v>
      </c>
      <c r="F202" s="22">
        <f t="shared" si="39"/>
        <v>0</v>
      </c>
      <c r="G202" s="10">
        <f t="shared" si="40"/>
        <v>0</v>
      </c>
      <c r="H202" s="43"/>
      <c r="I202" s="37"/>
      <c r="J202" s="37"/>
      <c r="K202" s="37"/>
    </row>
    <row r="203" spans="1:11" x14ac:dyDescent="0.15">
      <c r="A203" s="20">
        <v>0</v>
      </c>
      <c r="B203" s="20">
        <v>0</v>
      </c>
      <c r="C203" s="21">
        <f t="shared" si="41"/>
        <v>0</v>
      </c>
      <c r="D203" s="6">
        <v>1.2999999999999999E-2</v>
      </c>
      <c r="F203" s="22">
        <f t="shared" si="39"/>
        <v>0</v>
      </c>
      <c r="G203" s="10">
        <f t="shared" si="40"/>
        <v>0</v>
      </c>
      <c r="H203" s="43"/>
      <c r="I203" s="37"/>
      <c r="J203" s="37"/>
      <c r="K203" s="37"/>
    </row>
    <row r="204" spans="1:11" x14ac:dyDescent="0.15">
      <c r="A204" s="20">
        <v>0</v>
      </c>
      <c r="B204" s="20">
        <v>0</v>
      </c>
      <c r="C204" s="21">
        <f t="shared" si="41"/>
        <v>0</v>
      </c>
      <c r="D204" s="6">
        <v>1.2999999999999999E-2</v>
      </c>
      <c r="F204" s="22">
        <f t="shared" si="39"/>
        <v>0</v>
      </c>
      <c r="G204" s="10">
        <f t="shared" si="40"/>
        <v>0</v>
      </c>
      <c r="H204" s="43"/>
      <c r="I204" s="37"/>
      <c r="J204" s="37"/>
      <c r="K204" s="37"/>
    </row>
    <row r="205" spans="1:11" x14ac:dyDescent="0.15">
      <c r="A205" s="20">
        <v>0</v>
      </c>
      <c r="B205" s="20">
        <v>0</v>
      </c>
      <c r="C205" s="21">
        <f t="shared" si="41"/>
        <v>0</v>
      </c>
      <c r="D205" s="6">
        <v>1.2999999999999999E-2</v>
      </c>
      <c r="F205" s="22">
        <f t="shared" si="39"/>
        <v>0</v>
      </c>
      <c r="G205" s="10">
        <f t="shared" si="40"/>
        <v>0</v>
      </c>
      <c r="H205" s="43"/>
      <c r="I205" s="37"/>
      <c r="J205" s="37"/>
      <c r="K205" s="37"/>
    </row>
    <row r="206" spans="1:11" x14ac:dyDescent="0.15">
      <c r="A206" s="20">
        <v>0</v>
      </c>
      <c r="B206" s="20">
        <v>0</v>
      </c>
      <c r="C206" s="21">
        <f t="shared" si="41"/>
        <v>0</v>
      </c>
      <c r="D206" s="6">
        <v>1.2999999999999999E-2</v>
      </c>
      <c r="F206" s="22">
        <f t="shared" si="39"/>
        <v>0</v>
      </c>
      <c r="G206" s="10">
        <f t="shared" si="40"/>
        <v>0</v>
      </c>
      <c r="H206" s="44"/>
      <c r="I206" s="37"/>
      <c r="J206" s="37"/>
      <c r="K206" s="37"/>
    </row>
    <row r="207" spans="1:11" x14ac:dyDescent="0.15">
      <c r="A207" s="28"/>
      <c r="B207" s="28"/>
      <c r="C207" s="29"/>
      <c r="D207" s="30"/>
      <c r="F207" s="31"/>
      <c r="G207" s="26"/>
      <c r="H207" s="26"/>
      <c r="I207" s="26"/>
      <c r="J207" s="26"/>
      <c r="K207" s="26"/>
    </row>
    <row r="209" spans="1:11" x14ac:dyDescent="0.15">
      <c r="A209" s="7" t="s">
        <v>28</v>
      </c>
      <c r="B209" s="25" t="s">
        <v>18</v>
      </c>
      <c r="C209" s="8" t="s">
        <v>29</v>
      </c>
      <c r="D209" s="18" t="str">
        <f>$K$5</f>
        <v>psi</v>
      </c>
      <c r="F209" s="14" t="s">
        <v>28</v>
      </c>
      <c r="G209" s="9" t="str">
        <f>B209</f>
        <v>CH15</v>
      </c>
      <c r="H209" s="4"/>
      <c r="I209" s="8"/>
      <c r="J209" s="3"/>
      <c r="K209" s="9"/>
    </row>
    <row r="210" spans="1:11" ht="15" customHeight="1" x14ac:dyDescent="0.15">
      <c r="A210" s="34" t="s">
        <v>27</v>
      </c>
      <c r="B210" s="34" t="s">
        <v>27</v>
      </c>
      <c r="C210" s="45" t="s">
        <v>30</v>
      </c>
      <c r="D210" s="38" t="s">
        <v>3</v>
      </c>
      <c r="F210" s="33" t="s">
        <v>27</v>
      </c>
      <c r="G210" s="40" t="s">
        <v>38</v>
      </c>
      <c r="H210" s="39" t="s">
        <v>22</v>
      </c>
      <c r="I210" s="36" t="s">
        <v>37</v>
      </c>
      <c r="J210" s="36"/>
      <c r="K210" s="36"/>
    </row>
    <row r="211" spans="1:11" x14ac:dyDescent="0.15">
      <c r="A211" s="35"/>
      <c r="B211" s="35"/>
      <c r="C211" s="46"/>
      <c r="D211" s="38"/>
      <c r="F211" s="32" t="str">
        <f>"（"&amp;$K$5&amp;"）"</f>
        <v>（psi）</v>
      </c>
      <c r="G211" s="41"/>
      <c r="H211" s="39"/>
      <c r="I211" s="36"/>
      <c r="J211" s="36"/>
      <c r="K211" s="36"/>
    </row>
    <row r="212" spans="1:11" x14ac:dyDescent="0.15">
      <c r="A212" s="20">
        <v>0</v>
      </c>
      <c r="B212" s="20">
        <v>0</v>
      </c>
      <c r="C212" s="21">
        <f>B212-A212</f>
        <v>0</v>
      </c>
      <c r="D212" s="6">
        <v>1.2999999999999999E-2</v>
      </c>
      <c r="F212" s="22">
        <f t="shared" ref="F212:F220" si="42">A212</f>
        <v>0</v>
      </c>
      <c r="G212" s="10">
        <f t="shared" ref="G212:G220" si="43">ABS(C212)/($K$6-$I$6)</f>
        <v>0</v>
      </c>
      <c r="H212" s="42">
        <f>MAX(G212:G220)</f>
        <v>0</v>
      </c>
      <c r="I212" s="37"/>
      <c r="J212" s="37"/>
      <c r="K212" s="37"/>
    </row>
    <row r="213" spans="1:11" x14ac:dyDescent="0.15">
      <c r="A213" s="20">
        <v>0</v>
      </c>
      <c r="B213" s="20">
        <v>0</v>
      </c>
      <c r="C213" s="21">
        <f t="shared" ref="C213:C220" si="44">B213-A213</f>
        <v>0</v>
      </c>
      <c r="D213" s="6">
        <v>1.2999999999999999E-2</v>
      </c>
      <c r="F213" s="22">
        <f t="shared" si="42"/>
        <v>0</v>
      </c>
      <c r="G213" s="10">
        <f t="shared" si="43"/>
        <v>0</v>
      </c>
      <c r="H213" s="43"/>
      <c r="I213" s="37"/>
      <c r="J213" s="37"/>
      <c r="K213" s="37"/>
    </row>
    <row r="214" spans="1:11" x14ac:dyDescent="0.15">
      <c r="A214" s="20">
        <v>0</v>
      </c>
      <c r="B214" s="20">
        <v>0</v>
      </c>
      <c r="C214" s="21">
        <f t="shared" si="44"/>
        <v>0</v>
      </c>
      <c r="D214" s="6">
        <v>1.2999999999999999E-2</v>
      </c>
      <c r="F214" s="22">
        <f t="shared" si="42"/>
        <v>0</v>
      </c>
      <c r="G214" s="10">
        <f t="shared" si="43"/>
        <v>0</v>
      </c>
      <c r="H214" s="43"/>
      <c r="I214" s="37"/>
      <c r="J214" s="37"/>
      <c r="K214" s="37"/>
    </row>
    <row r="215" spans="1:11" x14ac:dyDescent="0.15">
      <c r="A215" s="20">
        <v>0</v>
      </c>
      <c r="B215" s="20">
        <v>0</v>
      </c>
      <c r="C215" s="21">
        <f t="shared" si="44"/>
        <v>0</v>
      </c>
      <c r="D215" s="6">
        <v>1.2999999999999999E-2</v>
      </c>
      <c r="F215" s="22">
        <f t="shared" si="42"/>
        <v>0</v>
      </c>
      <c r="G215" s="10">
        <f t="shared" si="43"/>
        <v>0</v>
      </c>
      <c r="H215" s="43"/>
      <c r="I215" s="37"/>
      <c r="J215" s="37"/>
      <c r="K215" s="37"/>
    </row>
    <row r="216" spans="1:11" x14ac:dyDescent="0.15">
      <c r="A216" s="20">
        <v>0</v>
      </c>
      <c r="B216" s="20">
        <v>0</v>
      </c>
      <c r="C216" s="21">
        <f t="shared" si="44"/>
        <v>0</v>
      </c>
      <c r="D216" s="6">
        <v>1.2999999999999999E-2</v>
      </c>
      <c r="F216" s="22">
        <f t="shared" si="42"/>
        <v>0</v>
      </c>
      <c r="G216" s="10">
        <f t="shared" si="43"/>
        <v>0</v>
      </c>
      <c r="H216" s="43"/>
      <c r="I216" s="37"/>
      <c r="J216" s="37"/>
      <c r="K216" s="37"/>
    </row>
    <row r="217" spans="1:11" x14ac:dyDescent="0.15">
      <c r="A217" s="20">
        <v>0</v>
      </c>
      <c r="B217" s="20">
        <v>0</v>
      </c>
      <c r="C217" s="21">
        <f t="shared" si="44"/>
        <v>0</v>
      </c>
      <c r="D217" s="6">
        <v>1.2999999999999999E-2</v>
      </c>
      <c r="F217" s="22">
        <f t="shared" si="42"/>
        <v>0</v>
      </c>
      <c r="G217" s="10">
        <f t="shared" si="43"/>
        <v>0</v>
      </c>
      <c r="H217" s="43"/>
      <c r="I217" s="37"/>
      <c r="J217" s="37"/>
      <c r="K217" s="37"/>
    </row>
    <row r="218" spans="1:11" x14ac:dyDescent="0.15">
      <c r="A218" s="20">
        <v>0</v>
      </c>
      <c r="B218" s="20">
        <v>0</v>
      </c>
      <c r="C218" s="21">
        <f t="shared" si="44"/>
        <v>0</v>
      </c>
      <c r="D218" s="6">
        <v>1.2999999999999999E-2</v>
      </c>
      <c r="F218" s="22">
        <f t="shared" si="42"/>
        <v>0</v>
      </c>
      <c r="G218" s="10">
        <f t="shared" si="43"/>
        <v>0</v>
      </c>
      <c r="H218" s="43"/>
      <c r="I218" s="37"/>
      <c r="J218" s="37"/>
      <c r="K218" s="37"/>
    </row>
    <row r="219" spans="1:11" x14ac:dyDescent="0.15">
      <c r="A219" s="20">
        <v>0</v>
      </c>
      <c r="B219" s="20">
        <v>0</v>
      </c>
      <c r="C219" s="21">
        <f t="shared" si="44"/>
        <v>0</v>
      </c>
      <c r="D219" s="6">
        <v>1.2999999999999999E-2</v>
      </c>
      <c r="F219" s="22">
        <f t="shared" si="42"/>
        <v>0</v>
      </c>
      <c r="G219" s="10">
        <f t="shared" si="43"/>
        <v>0</v>
      </c>
      <c r="H219" s="43"/>
      <c r="I219" s="37"/>
      <c r="J219" s="37"/>
      <c r="K219" s="37"/>
    </row>
    <row r="220" spans="1:11" x14ac:dyDescent="0.15">
      <c r="A220" s="20">
        <v>0</v>
      </c>
      <c r="B220" s="20">
        <v>0</v>
      </c>
      <c r="C220" s="21">
        <f t="shared" si="44"/>
        <v>0</v>
      </c>
      <c r="D220" s="6">
        <v>1.2999999999999999E-2</v>
      </c>
      <c r="F220" s="22">
        <f t="shared" si="42"/>
        <v>0</v>
      </c>
      <c r="G220" s="10">
        <f t="shared" si="43"/>
        <v>0</v>
      </c>
      <c r="H220" s="44"/>
      <c r="I220" s="37"/>
      <c r="J220" s="37"/>
      <c r="K220" s="37"/>
    </row>
    <row r="221" spans="1:11" x14ac:dyDescent="0.15">
      <c r="F221" s="31"/>
      <c r="G221" s="26"/>
      <c r="H221" s="26"/>
      <c r="I221" s="26"/>
      <c r="J221" s="26"/>
      <c r="K221" s="26"/>
    </row>
    <row r="225" spans="1:11" x14ac:dyDescent="0.15">
      <c r="A225" s="7" t="s">
        <v>28</v>
      </c>
      <c r="B225" s="25" t="s">
        <v>19</v>
      </c>
      <c r="C225" s="8" t="s">
        <v>29</v>
      </c>
      <c r="D225" s="18" t="str">
        <f>$K$5</f>
        <v>psi</v>
      </c>
      <c r="F225" s="14" t="s">
        <v>28</v>
      </c>
      <c r="G225" s="9" t="str">
        <f>B225</f>
        <v>CH16</v>
      </c>
      <c r="H225" s="4"/>
      <c r="I225" s="8"/>
      <c r="J225" s="3"/>
      <c r="K225" s="9"/>
    </row>
    <row r="226" spans="1:11" ht="15" customHeight="1" x14ac:dyDescent="0.15">
      <c r="A226" s="34" t="s">
        <v>27</v>
      </c>
      <c r="B226" s="34" t="s">
        <v>27</v>
      </c>
      <c r="C226" s="45" t="s">
        <v>30</v>
      </c>
      <c r="D226" s="38" t="s">
        <v>3</v>
      </c>
      <c r="F226" s="33" t="s">
        <v>27</v>
      </c>
      <c r="G226" s="40" t="s">
        <v>38</v>
      </c>
      <c r="H226" s="39" t="s">
        <v>22</v>
      </c>
      <c r="I226" s="36" t="s">
        <v>37</v>
      </c>
      <c r="J226" s="36"/>
      <c r="K226" s="36"/>
    </row>
    <row r="227" spans="1:11" x14ac:dyDescent="0.15">
      <c r="A227" s="35"/>
      <c r="B227" s="35"/>
      <c r="C227" s="46"/>
      <c r="D227" s="38"/>
      <c r="F227" s="32" t="str">
        <f>"（"&amp;$K$5&amp;"）"</f>
        <v>（psi）</v>
      </c>
      <c r="G227" s="41"/>
      <c r="H227" s="39"/>
      <c r="I227" s="36"/>
      <c r="J227" s="36"/>
      <c r="K227" s="36"/>
    </row>
    <row r="228" spans="1:11" x14ac:dyDescent="0.15">
      <c r="A228" s="20">
        <v>0</v>
      </c>
      <c r="B228" s="20">
        <v>0</v>
      </c>
      <c r="C228" s="21">
        <f>B228-A228</f>
        <v>0</v>
      </c>
      <c r="D228" s="6">
        <v>1.2999999999999999E-2</v>
      </c>
      <c r="F228" s="22">
        <f t="shared" ref="F228:F236" si="45">A228</f>
        <v>0</v>
      </c>
      <c r="G228" s="10">
        <f t="shared" ref="G228:G236" si="46">ABS(C228)/($K$6-$I$6)</f>
        <v>0</v>
      </c>
      <c r="H228" s="42">
        <f>MAX(G228:G236)</f>
        <v>0</v>
      </c>
      <c r="I228" s="37"/>
      <c r="J228" s="37"/>
      <c r="K228" s="37"/>
    </row>
    <row r="229" spans="1:11" x14ac:dyDescent="0.15">
      <c r="A229" s="20">
        <v>0</v>
      </c>
      <c r="B229" s="20">
        <v>0</v>
      </c>
      <c r="C229" s="21">
        <f t="shared" ref="C229:C236" si="47">B229-A229</f>
        <v>0</v>
      </c>
      <c r="D229" s="6">
        <v>1.2999999999999999E-2</v>
      </c>
      <c r="F229" s="22">
        <f t="shared" si="45"/>
        <v>0</v>
      </c>
      <c r="G229" s="10">
        <f t="shared" si="46"/>
        <v>0</v>
      </c>
      <c r="H229" s="43"/>
      <c r="I229" s="37"/>
      <c r="J229" s="37"/>
      <c r="K229" s="37"/>
    </row>
    <row r="230" spans="1:11" x14ac:dyDescent="0.15">
      <c r="A230" s="20">
        <v>0</v>
      </c>
      <c r="B230" s="20">
        <v>0</v>
      </c>
      <c r="C230" s="21">
        <f t="shared" si="47"/>
        <v>0</v>
      </c>
      <c r="D230" s="6">
        <v>1.2999999999999999E-2</v>
      </c>
      <c r="F230" s="22">
        <f t="shared" si="45"/>
        <v>0</v>
      </c>
      <c r="G230" s="10">
        <f t="shared" si="46"/>
        <v>0</v>
      </c>
      <c r="H230" s="43"/>
      <c r="I230" s="37"/>
      <c r="J230" s="37"/>
      <c r="K230" s="37"/>
    </row>
    <row r="231" spans="1:11" x14ac:dyDescent="0.15">
      <c r="A231" s="20">
        <v>0</v>
      </c>
      <c r="B231" s="20">
        <v>0</v>
      </c>
      <c r="C231" s="21">
        <f t="shared" si="47"/>
        <v>0</v>
      </c>
      <c r="D231" s="6">
        <v>1.2999999999999999E-2</v>
      </c>
      <c r="F231" s="22">
        <f t="shared" si="45"/>
        <v>0</v>
      </c>
      <c r="G231" s="10">
        <f t="shared" si="46"/>
        <v>0</v>
      </c>
      <c r="H231" s="43"/>
      <c r="I231" s="37"/>
      <c r="J231" s="37"/>
      <c r="K231" s="37"/>
    </row>
    <row r="232" spans="1:11" x14ac:dyDescent="0.15">
      <c r="A232" s="20">
        <v>0</v>
      </c>
      <c r="B232" s="20">
        <v>0</v>
      </c>
      <c r="C232" s="21">
        <f t="shared" si="47"/>
        <v>0</v>
      </c>
      <c r="D232" s="6">
        <v>1.2999999999999999E-2</v>
      </c>
      <c r="F232" s="22">
        <f t="shared" si="45"/>
        <v>0</v>
      </c>
      <c r="G232" s="10">
        <f t="shared" si="46"/>
        <v>0</v>
      </c>
      <c r="H232" s="43"/>
      <c r="I232" s="37"/>
      <c r="J232" s="37"/>
      <c r="K232" s="37"/>
    </row>
    <row r="233" spans="1:11" x14ac:dyDescent="0.15">
      <c r="A233" s="20">
        <v>0</v>
      </c>
      <c r="B233" s="20">
        <v>0</v>
      </c>
      <c r="C233" s="21">
        <f t="shared" si="47"/>
        <v>0</v>
      </c>
      <c r="D233" s="6">
        <v>1.2999999999999999E-2</v>
      </c>
      <c r="F233" s="22">
        <f t="shared" si="45"/>
        <v>0</v>
      </c>
      <c r="G233" s="10">
        <f t="shared" si="46"/>
        <v>0</v>
      </c>
      <c r="H233" s="43"/>
      <c r="I233" s="37"/>
      <c r="J233" s="37"/>
      <c r="K233" s="37"/>
    </row>
    <row r="234" spans="1:11" x14ac:dyDescent="0.15">
      <c r="A234" s="20">
        <v>0</v>
      </c>
      <c r="B234" s="20">
        <v>0</v>
      </c>
      <c r="C234" s="21">
        <f t="shared" si="47"/>
        <v>0</v>
      </c>
      <c r="D234" s="6">
        <v>1.2999999999999999E-2</v>
      </c>
      <c r="F234" s="22">
        <f t="shared" si="45"/>
        <v>0</v>
      </c>
      <c r="G234" s="10">
        <f t="shared" si="46"/>
        <v>0</v>
      </c>
      <c r="H234" s="43"/>
      <c r="I234" s="37"/>
      <c r="J234" s="37"/>
      <c r="K234" s="37"/>
    </row>
    <row r="235" spans="1:11" x14ac:dyDescent="0.15">
      <c r="A235" s="20">
        <v>0</v>
      </c>
      <c r="B235" s="20">
        <v>0</v>
      </c>
      <c r="C235" s="21">
        <f t="shared" si="47"/>
        <v>0</v>
      </c>
      <c r="D235" s="6">
        <v>1.2999999999999999E-2</v>
      </c>
      <c r="F235" s="22">
        <f t="shared" si="45"/>
        <v>0</v>
      </c>
      <c r="G235" s="10">
        <f t="shared" si="46"/>
        <v>0</v>
      </c>
      <c r="H235" s="43"/>
      <c r="I235" s="37"/>
      <c r="J235" s="37"/>
      <c r="K235" s="37"/>
    </row>
    <row r="236" spans="1:11" x14ac:dyDescent="0.15">
      <c r="A236" s="20">
        <v>0</v>
      </c>
      <c r="B236" s="20">
        <v>0</v>
      </c>
      <c r="C236" s="21">
        <f t="shared" si="47"/>
        <v>0</v>
      </c>
      <c r="D236" s="6">
        <v>1.2999999999999999E-2</v>
      </c>
      <c r="F236" s="22">
        <f t="shared" si="45"/>
        <v>0</v>
      </c>
      <c r="G236" s="10">
        <f t="shared" si="46"/>
        <v>0</v>
      </c>
      <c r="H236" s="44"/>
      <c r="I236" s="37"/>
      <c r="J236" s="37"/>
      <c r="K236" s="37"/>
    </row>
    <row r="237" spans="1:11" x14ac:dyDescent="0.15">
      <c r="F237" s="31"/>
      <c r="G237" s="26"/>
      <c r="H237" s="26"/>
      <c r="I237" s="26"/>
      <c r="J237" s="26"/>
      <c r="K237" s="26"/>
    </row>
    <row r="243" spans="1:4" x14ac:dyDescent="0.15">
      <c r="A243" s="47"/>
      <c r="B243" s="47"/>
      <c r="C243" s="47"/>
      <c r="D243" s="47"/>
    </row>
    <row r="244" spans="1:4" x14ac:dyDescent="0.15">
      <c r="A244" s="48" t="s">
        <v>2</v>
      </c>
      <c r="B244" s="48"/>
      <c r="C244" s="48"/>
      <c r="D244" s="48"/>
    </row>
    <row r="245" spans="1:4" x14ac:dyDescent="0.15">
      <c r="A245" s="47" t="s">
        <v>1</v>
      </c>
      <c r="B245" s="47"/>
      <c r="C245" s="47"/>
      <c r="D245" s="47"/>
    </row>
  </sheetData>
  <mergeCells count="152">
    <mergeCell ref="I1:I2"/>
    <mergeCell ref="G226:G227"/>
    <mergeCell ref="H226:H227"/>
    <mergeCell ref="I184:K192"/>
    <mergeCell ref="I196:K197"/>
    <mergeCell ref="I198:K206"/>
    <mergeCell ref="I210:K211"/>
    <mergeCell ref="I212:K220"/>
    <mergeCell ref="I226:K227"/>
    <mergeCell ref="I154:K162"/>
    <mergeCell ref="I166:K167"/>
    <mergeCell ref="H140:H148"/>
    <mergeCell ref="G152:G153"/>
    <mergeCell ref="H152:H153"/>
    <mergeCell ref="I124:K132"/>
    <mergeCell ref="I138:K139"/>
    <mergeCell ref="I140:K148"/>
    <mergeCell ref="I152:K153"/>
    <mergeCell ref="H154:H162"/>
    <mergeCell ref="G166:G167"/>
    <mergeCell ref="H166:H167"/>
    <mergeCell ref="H110:H118"/>
    <mergeCell ref="G122:G123"/>
    <mergeCell ref="H122:H123"/>
    <mergeCell ref="F4:J4"/>
    <mergeCell ref="F3:J3"/>
    <mergeCell ref="H228:H236"/>
    <mergeCell ref="H198:H206"/>
    <mergeCell ref="G210:G211"/>
    <mergeCell ref="H210:H211"/>
    <mergeCell ref="H212:H220"/>
    <mergeCell ref="I228:K236"/>
    <mergeCell ref="H168:H176"/>
    <mergeCell ref="G182:G183"/>
    <mergeCell ref="H182:H183"/>
    <mergeCell ref="I168:K176"/>
    <mergeCell ref="I182:K183"/>
    <mergeCell ref="H184:H192"/>
    <mergeCell ref="G196:G197"/>
    <mergeCell ref="H196:H197"/>
    <mergeCell ref="H96:H104"/>
    <mergeCell ref="G108:G109"/>
    <mergeCell ref="H108:H109"/>
    <mergeCell ref="I96:K104"/>
    <mergeCell ref="I108:K109"/>
    <mergeCell ref="I110:K118"/>
    <mergeCell ref="I122:K123"/>
    <mergeCell ref="H124:H132"/>
    <mergeCell ref="G138:G139"/>
    <mergeCell ref="H138:H139"/>
    <mergeCell ref="G65:G66"/>
    <mergeCell ref="H65:H66"/>
    <mergeCell ref="I65:K66"/>
    <mergeCell ref="H67:H75"/>
    <mergeCell ref="G79:G80"/>
    <mergeCell ref="H79:H80"/>
    <mergeCell ref="H81:H89"/>
    <mergeCell ref="G94:G95"/>
    <mergeCell ref="H94:H95"/>
    <mergeCell ref="I67:K75"/>
    <mergeCell ref="I79:K80"/>
    <mergeCell ref="I81:K89"/>
    <mergeCell ref="I94:K95"/>
    <mergeCell ref="A243:D243"/>
    <mergeCell ref="A244:D244"/>
    <mergeCell ref="A245:D245"/>
    <mergeCell ref="A3:D3"/>
    <mergeCell ref="A4:D4"/>
    <mergeCell ref="A8:A9"/>
    <mergeCell ref="C8:C9"/>
    <mergeCell ref="A36:A37"/>
    <mergeCell ref="C36:C37"/>
    <mergeCell ref="D36:D37"/>
    <mergeCell ref="A51:A52"/>
    <mergeCell ref="C51:C52"/>
    <mergeCell ref="D51:D52"/>
    <mergeCell ref="A65:A66"/>
    <mergeCell ref="C65:C66"/>
    <mergeCell ref="D65:D66"/>
    <mergeCell ref="A79:A80"/>
    <mergeCell ref="C79:C80"/>
    <mergeCell ref="A94:A95"/>
    <mergeCell ref="C94:C95"/>
    <mergeCell ref="D79:D80"/>
    <mergeCell ref="D108:D109"/>
    <mergeCell ref="A108:A109"/>
    <mergeCell ref="C108:C109"/>
    <mergeCell ref="D182:D183"/>
    <mergeCell ref="A182:A183"/>
    <mergeCell ref="C182:C183"/>
    <mergeCell ref="A166:A167"/>
    <mergeCell ref="C166:C167"/>
    <mergeCell ref="D166:D167"/>
    <mergeCell ref="A22:A23"/>
    <mergeCell ref="C22:C23"/>
    <mergeCell ref="D22:D23"/>
    <mergeCell ref="A122:A123"/>
    <mergeCell ref="C122:C123"/>
    <mergeCell ref="A152:A153"/>
    <mergeCell ref="C152:C153"/>
    <mergeCell ref="D152:D153"/>
    <mergeCell ref="A138:A139"/>
    <mergeCell ref="C138:C139"/>
    <mergeCell ref="D138:D139"/>
    <mergeCell ref="D122:D123"/>
    <mergeCell ref="D94:D95"/>
    <mergeCell ref="B51:B52"/>
    <mergeCell ref="B65:B66"/>
    <mergeCell ref="B79:B80"/>
    <mergeCell ref="B94:B95"/>
    <mergeCell ref="B108:B109"/>
    <mergeCell ref="D226:D227"/>
    <mergeCell ref="A226:A227"/>
    <mergeCell ref="C226:C227"/>
    <mergeCell ref="A210:A211"/>
    <mergeCell ref="C210:C211"/>
    <mergeCell ref="D210:D211"/>
    <mergeCell ref="A196:A197"/>
    <mergeCell ref="C196:C197"/>
    <mergeCell ref="D196:D197"/>
    <mergeCell ref="I8:K9"/>
    <mergeCell ref="I10:K18"/>
    <mergeCell ref="I22:K23"/>
    <mergeCell ref="I24:K32"/>
    <mergeCell ref="I36:K37"/>
    <mergeCell ref="I38:K46"/>
    <mergeCell ref="I51:K52"/>
    <mergeCell ref="I53:K61"/>
    <mergeCell ref="D8:D9"/>
    <mergeCell ref="H36:H37"/>
    <mergeCell ref="G36:G37"/>
    <mergeCell ref="H24:H32"/>
    <mergeCell ref="H8:H9"/>
    <mergeCell ref="G8:G9"/>
    <mergeCell ref="H22:H23"/>
    <mergeCell ref="G22:G23"/>
    <mergeCell ref="H10:H18"/>
    <mergeCell ref="H38:H46"/>
    <mergeCell ref="G51:G52"/>
    <mergeCell ref="H51:H52"/>
    <mergeCell ref="H53:H61"/>
    <mergeCell ref="B122:B123"/>
    <mergeCell ref="B138:B139"/>
    <mergeCell ref="B152:B153"/>
    <mergeCell ref="B166:B167"/>
    <mergeCell ref="B182:B183"/>
    <mergeCell ref="B196:B197"/>
    <mergeCell ref="B210:B211"/>
    <mergeCell ref="B226:B227"/>
    <mergeCell ref="B8:B9"/>
    <mergeCell ref="B22:B23"/>
    <mergeCell ref="B36:B37"/>
  </mergeCells>
  <phoneticPr fontId="7" type="noConversion"/>
  <conditionalFormatting sqref="G10:G18">
    <cfRule type="cellIs" dxfId="65" priority="613" operator="lessThan">
      <formula>$G$6/100</formula>
    </cfRule>
    <cfRule type="cellIs" dxfId="64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24:G32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24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38:G46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38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53:G61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53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67:G75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67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81:G89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81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96:G104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96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110:G118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110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124:G132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124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140:G148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140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54:G162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54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68:G176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68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84:G192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84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98:G206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98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212:G220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212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228:G236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228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2024-04-22T10:27:32Z</cp:lastPrinted>
  <dcterms:created xsi:type="dcterms:W3CDTF">2022-12-06T12:02:00Z</dcterms:created>
  <dcterms:modified xsi:type="dcterms:W3CDTF">2024-05-24T00:47:51Z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