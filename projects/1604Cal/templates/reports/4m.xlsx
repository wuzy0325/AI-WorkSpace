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校准结果" sheetId="16" r:id="rId1"/>
  </sheets>
  <definedNames>
    <definedName name="_xlnm.Print_Titles" localSheetId="0">校准结果!$1:$4</definedName>
    <definedName name="单位">校准结果!$N$5</definedName>
    <definedName name="量程最大值">校准结果!$N$6</definedName>
    <definedName name="量程最小值">校准结果!$L$6</definedName>
    <definedName name="通道1">校准结果!$A$10</definedName>
    <definedName name="通道10">校准结果!$A$86</definedName>
    <definedName name="通道11">校准结果!$A$98</definedName>
    <definedName name="通道12">校准结果!$A$106</definedName>
    <definedName name="通道13">校准结果!$A$114</definedName>
    <definedName name="通道14">校准结果!$A$122</definedName>
    <definedName name="通道15">校准结果!$A$130</definedName>
    <definedName name="通道16">校准结果!$A$142</definedName>
    <definedName name="通道2">校准结果!$A$18</definedName>
    <definedName name="通道3">校准结果!$A$26</definedName>
    <definedName name="通道4">校准结果!$A$34</definedName>
    <definedName name="通道5">校准结果!$A$42</definedName>
    <definedName name="通道6">校准结果!$A$54</definedName>
    <definedName name="通道7">校准结果!$A$62</definedName>
    <definedName name="通道8">校准结果!$A$70</definedName>
    <definedName name="通道9">校准结果!$A$78</definedName>
    <definedName name="校准日期">校准结果!$L$5</definedName>
    <definedName name="准确度等级">校准结果!$J$6</definedName>
  </definedNames>
  <calcPr calcId="191029"/>
</workbook>
</file>

<file path=xl/calcChain.xml><?xml version="1.0" encoding="utf-8"?>
<calcChain xmlns="http://schemas.openxmlformats.org/spreadsheetml/2006/main">
  <c r="I145" i="16" l="1"/>
  <c r="I144" i="16"/>
  <c r="I143" i="16"/>
  <c r="I142" i="16"/>
  <c r="I141" i="16"/>
  <c r="J139" i="16"/>
  <c r="I133" i="16"/>
  <c r="I132" i="16"/>
  <c r="I131" i="16"/>
  <c r="I130" i="16"/>
  <c r="I129" i="16"/>
  <c r="J127" i="16"/>
  <c r="I125" i="16"/>
  <c r="I124" i="16"/>
  <c r="I123" i="16"/>
  <c r="I122" i="16"/>
  <c r="I121" i="16"/>
  <c r="J119" i="16"/>
  <c r="I117" i="16"/>
  <c r="I116" i="16"/>
  <c r="I115" i="16"/>
  <c r="I114" i="16"/>
  <c r="I113" i="16"/>
  <c r="J111" i="16"/>
  <c r="I109" i="16"/>
  <c r="I108" i="16"/>
  <c r="I107" i="16"/>
  <c r="I106" i="16"/>
  <c r="I105" i="16"/>
  <c r="J103" i="16"/>
  <c r="I101" i="16"/>
  <c r="I100" i="16"/>
  <c r="I99" i="16"/>
  <c r="I98" i="16"/>
  <c r="I97" i="16"/>
  <c r="J95" i="16"/>
  <c r="I89" i="16"/>
  <c r="I88" i="16"/>
  <c r="I87" i="16"/>
  <c r="I86" i="16"/>
  <c r="I85" i="16"/>
  <c r="J83" i="16"/>
  <c r="I81" i="16"/>
  <c r="I80" i="16"/>
  <c r="I79" i="16"/>
  <c r="I78" i="16"/>
  <c r="I77" i="16"/>
  <c r="J75" i="16"/>
  <c r="I73" i="16"/>
  <c r="I72" i="16"/>
  <c r="I71" i="16"/>
  <c r="I70" i="16"/>
  <c r="I69" i="16"/>
  <c r="J67" i="16"/>
  <c r="I65" i="16"/>
  <c r="I64" i="16"/>
  <c r="I63" i="16"/>
  <c r="I62" i="16"/>
  <c r="I61" i="16"/>
  <c r="J59" i="16"/>
  <c r="I57" i="16"/>
  <c r="I56" i="16"/>
  <c r="I55" i="16"/>
  <c r="I54" i="16"/>
  <c r="I53" i="16"/>
  <c r="J51" i="16"/>
  <c r="L45" i="16"/>
  <c r="J45" i="16"/>
  <c r="I45" i="16"/>
  <c r="I44" i="16"/>
  <c r="I43" i="16"/>
  <c r="I42" i="16"/>
  <c r="I41" i="16"/>
  <c r="J39" i="16"/>
  <c r="I37" i="16"/>
  <c r="I36" i="16"/>
  <c r="I35" i="16"/>
  <c r="L34" i="16"/>
  <c r="J34" i="16"/>
  <c r="I34" i="16"/>
  <c r="I33" i="16"/>
  <c r="J31" i="16"/>
  <c r="I29" i="16"/>
  <c r="I28" i="16"/>
  <c r="I27" i="16"/>
  <c r="I26" i="16"/>
  <c r="I25" i="16"/>
  <c r="J23" i="16"/>
  <c r="I21" i="16"/>
  <c r="I20" i="16"/>
  <c r="I19" i="16"/>
  <c r="I18" i="16"/>
  <c r="I17" i="16"/>
  <c r="J15" i="16"/>
  <c r="D44" i="16"/>
  <c r="J44" i="16" s="1"/>
  <c r="E44" i="16"/>
  <c r="L44" i="16" s="1"/>
  <c r="D45" i="16"/>
  <c r="E45" i="16"/>
  <c r="D34" i="16"/>
  <c r="E34" i="16"/>
  <c r="D35" i="16"/>
  <c r="J35" i="16" s="1"/>
  <c r="E35" i="16"/>
  <c r="L35" i="16" s="1"/>
  <c r="E15" i="16"/>
  <c r="E139" i="16" l="1"/>
  <c r="E127" i="16"/>
  <c r="E119" i="16"/>
  <c r="E111" i="16"/>
  <c r="E103" i="16"/>
  <c r="E95" i="16"/>
  <c r="E83" i="16"/>
  <c r="E75" i="16"/>
  <c r="E67" i="16"/>
  <c r="E59" i="16"/>
  <c r="E51" i="16"/>
  <c r="E39" i="16"/>
  <c r="E31" i="16"/>
  <c r="E23" i="16"/>
  <c r="E7" i="16"/>
  <c r="I9" i="16"/>
  <c r="I11" i="16" l="1"/>
  <c r="I12" i="16"/>
  <c r="I13" i="16"/>
  <c r="I10" i="16"/>
  <c r="J7" i="16"/>
  <c r="E145" i="16" l="1"/>
  <c r="L145" i="16" s="1"/>
  <c r="D145" i="16"/>
  <c r="J145" i="16" s="1"/>
  <c r="E144" i="16"/>
  <c r="L144" i="16" s="1"/>
  <c r="D144" i="16"/>
  <c r="J144" i="16" s="1"/>
  <c r="E143" i="16"/>
  <c r="L143" i="16" s="1"/>
  <c r="D143" i="16"/>
  <c r="J143" i="16" s="1"/>
  <c r="E142" i="16"/>
  <c r="L142" i="16" s="1"/>
  <c r="D142" i="16"/>
  <c r="J142" i="16" s="1"/>
  <c r="K142" i="16" s="1"/>
  <c r="E133" i="16"/>
  <c r="L133" i="16" s="1"/>
  <c r="D133" i="16"/>
  <c r="J133" i="16" s="1"/>
  <c r="E132" i="16"/>
  <c r="L132" i="16" s="1"/>
  <c r="D132" i="16"/>
  <c r="J132" i="16" s="1"/>
  <c r="E131" i="16"/>
  <c r="L131" i="16" s="1"/>
  <c r="D131" i="16"/>
  <c r="J131" i="16" s="1"/>
  <c r="E130" i="16"/>
  <c r="L130" i="16" s="1"/>
  <c r="M130" i="16" s="1"/>
  <c r="D130" i="16"/>
  <c r="J130" i="16" s="1"/>
  <c r="K130" i="16" s="1"/>
  <c r="E125" i="16"/>
  <c r="L125" i="16" s="1"/>
  <c r="D125" i="16"/>
  <c r="J125" i="16" s="1"/>
  <c r="E124" i="16"/>
  <c r="L124" i="16" s="1"/>
  <c r="D124" i="16"/>
  <c r="J124" i="16" s="1"/>
  <c r="E123" i="16"/>
  <c r="L123" i="16" s="1"/>
  <c r="D123" i="16"/>
  <c r="J123" i="16" s="1"/>
  <c r="E122" i="16"/>
  <c r="L122" i="16" s="1"/>
  <c r="M122" i="16" s="1"/>
  <c r="D122" i="16"/>
  <c r="J122" i="16" s="1"/>
  <c r="K122" i="16" s="1"/>
  <c r="E117" i="16"/>
  <c r="L117" i="16" s="1"/>
  <c r="D117" i="16"/>
  <c r="J117" i="16" s="1"/>
  <c r="E116" i="16"/>
  <c r="L116" i="16" s="1"/>
  <c r="D116" i="16"/>
  <c r="J116" i="16" s="1"/>
  <c r="E115" i="16"/>
  <c r="L115" i="16" s="1"/>
  <c r="D115" i="16"/>
  <c r="J115" i="16" s="1"/>
  <c r="E114" i="16"/>
  <c r="L114" i="16" s="1"/>
  <c r="D114" i="16"/>
  <c r="J114" i="16" s="1"/>
  <c r="K114" i="16" s="1"/>
  <c r="E109" i="16"/>
  <c r="L109" i="16" s="1"/>
  <c r="D109" i="16"/>
  <c r="J109" i="16" s="1"/>
  <c r="E108" i="16"/>
  <c r="L108" i="16" s="1"/>
  <c r="D108" i="16"/>
  <c r="J108" i="16" s="1"/>
  <c r="E107" i="16"/>
  <c r="L107" i="16" s="1"/>
  <c r="D107" i="16"/>
  <c r="J107" i="16" s="1"/>
  <c r="E106" i="16"/>
  <c r="L106" i="16" s="1"/>
  <c r="M106" i="16" s="1"/>
  <c r="D106" i="16"/>
  <c r="J106" i="16" s="1"/>
  <c r="K106" i="16" s="1"/>
  <c r="E101" i="16"/>
  <c r="L101" i="16" s="1"/>
  <c r="D101" i="16"/>
  <c r="J101" i="16" s="1"/>
  <c r="E100" i="16"/>
  <c r="L100" i="16" s="1"/>
  <c r="D100" i="16"/>
  <c r="J100" i="16" s="1"/>
  <c r="E99" i="16"/>
  <c r="L99" i="16" s="1"/>
  <c r="D99" i="16"/>
  <c r="J99" i="16" s="1"/>
  <c r="E98" i="16"/>
  <c r="L98" i="16" s="1"/>
  <c r="M98" i="16" s="1"/>
  <c r="D98" i="16"/>
  <c r="J98" i="16" s="1"/>
  <c r="K98" i="16" s="1"/>
  <c r="E89" i="16"/>
  <c r="L89" i="16" s="1"/>
  <c r="D89" i="16"/>
  <c r="J89" i="16" s="1"/>
  <c r="E88" i="16"/>
  <c r="L88" i="16" s="1"/>
  <c r="D88" i="16"/>
  <c r="J88" i="16" s="1"/>
  <c r="E87" i="16"/>
  <c r="L87" i="16" s="1"/>
  <c r="D87" i="16"/>
  <c r="J87" i="16" s="1"/>
  <c r="E86" i="16"/>
  <c r="L86" i="16" s="1"/>
  <c r="M86" i="16" s="1"/>
  <c r="D86" i="16"/>
  <c r="J86" i="16" s="1"/>
  <c r="K86" i="16" s="1"/>
  <c r="E81" i="16"/>
  <c r="L81" i="16" s="1"/>
  <c r="D81" i="16"/>
  <c r="J81" i="16" s="1"/>
  <c r="E80" i="16"/>
  <c r="L80" i="16" s="1"/>
  <c r="D80" i="16"/>
  <c r="J80" i="16" s="1"/>
  <c r="E79" i="16"/>
  <c r="L79" i="16" s="1"/>
  <c r="D79" i="16"/>
  <c r="J79" i="16" s="1"/>
  <c r="E78" i="16"/>
  <c r="L78" i="16" s="1"/>
  <c r="M78" i="16" s="1"/>
  <c r="D78" i="16"/>
  <c r="J78" i="16" s="1"/>
  <c r="K78" i="16" s="1"/>
  <c r="E73" i="16"/>
  <c r="L73" i="16" s="1"/>
  <c r="D73" i="16"/>
  <c r="J73" i="16" s="1"/>
  <c r="E72" i="16"/>
  <c r="L72" i="16" s="1"/>
  <c r="D72" i="16"/>
  <c r="J72" i="16" s="1"/>
  <c r="E71" i="16"/>
  <c r="L71" i="16" s="1"/>
  <c r="D71" i="16"/>
  <c r="J71" i="16" s="1"/>
  <c r="E70" i="16"/>
  <c r="L70" i="16" s="1"/>
  <c r="M70" i="16" s="1"/>
  <c r="D70" i="16"/>
  <c r="J70" i="16" s="1"/>
  <c r="K70" i="16" s="1"/>
  <c r="E65" i="16"/>
  <c r="L65" i="16" s="1"/>
  <c r="D65" i="16"/>
  <c r="J65" i="16" s="1"/>
  <c r="E64" i="16"/>
  <c r="L64" i="16" s="1"/>
  <c r="D64" i="16"/>
  <c r="J64" i="16" s="1"/>
  <c r="E63" i="16"/>
  <c r="L63" i="16" s="1"/>
  <c r="D63" i="16"/>
  <c r="J63" i="16" s="1"/>
  <c r="E62" i="16"/>
  <c r="L62" i="16" s="1"/>
  <c r="D62" i="16"/>
  <c r="J62" i="16" s="1"/>
  <c r="K62" i="16" s="1"/>
  <c r="E57" i="16"/>
  <c r="L57" i="16" s="1"/>
  <c r="D57" i="16"/>
  <c r="J57" i="16" s="1"/>
  <c r="E56" i="16"/>
  <c r="L56" i="16" s="1"/>
  <c r="D56" i="16"/>
  <c r="J56" i="16" s="1"/>
  <c r="E55" i="16"/>
  <c r="L55" i="16" s="1"/>
  <c r="D55" i="16"/>
  <c r="J55" i="16" s="1"/>
  <c r="E54" i="16"/>
  <c r="L54" i="16" s="1"/>
  <c r="D54" i="16"/>
  <c r="J54" i="16" s="1"/>
  <c r="E43" i="16"/>
  <c r="L43" i="16" s="1"/>
  <c r="D43" i="16"/>
  <c r="J43" i="16" s="1"/>
  <c r="E42" i="16"/>
  <c r="L42" i="16" s="1"/>
  <c r="D42" i="16"/>
  <c r="J42" i="16" s="1"/>
  <c r="K42" i="16" s="1"/>
  <c r="E37" i="16"/>
  <c r="L37" i="16" s="1"/>
  <c r="D37" i="16"/>
  <c r="J37" i="16" s="1"/>
  <c r="E36" i="16"/>
  <c r="L36" i="16" s="1"/>
  <c r="M34" i="16" s="1"/>
  <c r="D36" i="16"/>
  <c r="J36" i="16" s="1"/>
  <c r="K34" i="16" s="1"/>
  <c r="E29" i="16"/>
  <c r="L29" i="16" s="1"/>
  <c r="D29" i="16"/>
  <c r="J29" i="16" s="1"/>
  <c r="E28" i="16"/>
  <c r="L28" i="16" s="1"/>
  <c r="D28" i="16"/>
  <c r="J28" i="16" s="1"/>
  <c r="E27" i="16"/>
  <c r="L27" i="16" s="1"/>
  <c r="D27" i="16"/>
  <c r="J27" i="16" s="1"/>
  <c r="E26" i="16"/>
  <c r="L26" i="16" s="1"/>
  <c r="M26" i="16" s="1"/>
  <c r="D26" i="16"/>
  <c r="J26" i="16" s="1"/>
  <c r="K26" i="16" s="1"/>
  <c r="E21" i="16"/>
  <c r="L21" i="16" s="1"/>
  <c r="D21" i="16"/>
  <c r="J21" i="16" s="1"/>
  <c r="E20" i="16"/>
  <c r="L20" i="16" s="1"/>
  <c r="D20" i="16"/>
  <c r="J20" i="16" s="1"/>
  <c r="E19" i="16"/>
  <c r="L19" i="16" s="1"/>
  <c r="D19" i="16"/>
  <c r="J19" i="16" s="1"/>
  <c r="E18" i="16"/>
  <c r="L18" i="16" s="1"/>
  <c r="M18" i="16" s="1"/>
  <c r="D18" i="16"/>
  <c r="J18" i="16" s="1"/>
  <c r="K18" i="16" s="1"/>
  <c r="E13" i="16"/>
  <c r="L13" i="16" s="1"/>
  <c r="D13" i="16"/>
  <c r="J13" i="16" s="1"/>
  <c r="E12" i="16"/>
  <c r="L12" i="16" s="1"/>
  <c r="D12" i="16"/>
  <c r="J12" i="16" s="1"/>
  <c r="E11" i="16"/>
  <c r="L11" i="16" s="1"/>
  <c r="D11" i="16"/>
  <c r="J11" i="16" s="1"/>
  <c r="E10" i="16"/>
  <c r="D10" i="16"/>
  <c r="J10" i="16" s="1"/>
  <c r="M142" i="16" l="1"/>
  <c r="M114" i="16"/>
  <c r="M62" i="16"/>
  <c r="K54" i="16"/>
  <c r="M54" i="16"/>
  <c r="M42" i="16"/>
  <c r="L10" i="16"/>
  <c r="M10" i="16" s="1"/>
  <c r="K10" i="16"/>
</calcChain>
</file>

<file path=xl/sharedStrings.xml><?xml version="1.0" encoding="utf-8"?>
<sst xmlns="http://schemas.openxmlformats.org/spreadsheetml/2006/main" count="290" uniqueCount="47">
  <si>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</si>
  <si>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</si>
  <si>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</si>
  <si>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8" type="noConversion"/>
  </si>
  <si>
    <r>
      <rPr>
        <sz val="11"/>
        <color theme="1"/>
        <rFont val="宋体"/>
        <family val="3"/>
        <charset val="134"/>
      </rPr>
      <t>正行程示值</t>
    </r>
    <phoneticPr fontId="8" type="noConversion"/>
  </si>
  <si>
    <r>
      <rPr>
        <sz val="11"/>
        <color theme="1"/>
        <rFont val="宋体"/>
        <family val="3"/>
        <charset val="134"/>
      </rPr>
      <t>反行程示值</t>
    </r>
    <phoneticPr fontId="8" type="noConversion"/>
  </si>
  <si>
    <t>CH1</t>
    <phoneticPr fontId="8" type="noConversion"/>
  </si>
  <si>
    <r>
      <rPr>
        <b/>
        <sz val="11"/>
        <color theme="1"/>
        <rFont val="宋体"/>
        <family val="3"/>
        <charset val="134"/>
      </rPr>
      <t>通道编号：</t>
    </r>
    <phoneticPr fontId="8" type="noConversion"/>
  </si>
  <si>
    <t>CH2</t>
    <phoneticPr fontId="8" type="noConversion"/>
  </si>
  <si>
    <t>CH3</t>
    <phoneticPr fontId="8" type="noConversion"/>
  </si>
  <si>
    <t>CH4</t>
    <phoneticPr fontId="8" type="noConversion"/>
  </si>
  <si>
    <t>CH5</t>
    <phoneticPr fontId="8" type="noConversion"/>
  </si>
  <si>
    <t>CH6</t>
    <phoneticPr fontId="8" type="noConversion"/>
  </si>
  <si>
    <t>CH7</t>
    <phoneticPr fontId="8" type="noConversion"/>
  </si>
  <si>
    <t>CH8</t>
    <phoneticPr fontId="8" type="noConversion"/>
  </si>
  <si>
    <t>CH9</t>
    <phoneticPr fontId="8" type="noConversion"/>
  </si>
  <si>
    <t>CH10</t>
    <phoneticPr fontId="8" type="noConversion"/>
  </si>
  <si>
    <t>CH11</t>
    <phoneticPr fontId="8" type="noConversion"/>
  </si>
  <si>
    <t>CH12</t>
    <phoneticPr fontId="8" type="noConversion"/>
  </si>
  <si>
    <t>CH13</t>
    <phoneticPr fontId="8" type="noConversion"/>
  </si>
  <si>
    <t>CH14</t>
    <phoneticPr fontId="8" type="noConversion"/>
  </si>
  <si>
    <t>CH15</t>
    <phoneticPr fontId="8" type="noConversion"/>
  </si>
  <si>
    <t>CH16</t>
    <phoneticPr fontId="8" type="noConversion"/>
  </si>
  <si>
    <t>校准结果</t>
    <phoneticPr fontId="8" type="noConversion"/>
  </si>
  <si>
    <t>结果分析</t>
    <phoneticPr fontId="8" type="noConversion"/>
  </si>
  <si>
    <t>单位：</t>
    <phoneticPr fontId="8" type="noConversion"/>
  </si>
  <si>
    <t>回程误差</t>
    <phoneticPr fontId="8" type="noConversion"/>
  </si>
  <si>
    <t>示值误差</t>
    <phoneticPr fontId="8" type="noConversion"/>
  </si>
  <si>
    <t>标准压力值</t>
    <phoneticPr fontId="8" type="noConversion"/>
  </si>
  <si>
    <t>被校设备显示值</t>
    <phoneticPr fontId="8" type="noConversion"/>
  </si>
  <si>
    <t>设备编号：</t>
    <phoneticPr fontId="8" type="noConversion"/>
  </si>
  <si>
    <t>max</t>
    <phoneticPr fontId="8" type="noConversion"/>
  </si>
  <si>
    <t>psi</t>
    <phoneticPr fontId="8" type="noConversion"/>
  </si>
  <si>
    <t>Results analysis</t>
    <phoneticPr fontId="8" type="noConversion"/>
  </si>
  <si>
    <t>校准日期：</t>
    <phoneticPr fontId="8" type="noConversion"/>
  </si>
  <si>
    <t>丨示值误差丨
/满量程</t>
    <phoneticPr fontId="8" type="noConversion"/>
  </si>
  <si>
    <t>丨回程误差丨
/满量程</t>
    <phoneticPr fontId="8" type="noConversion"/>
  </si>
  <si>
    <t>备注</t>
    <phoneticPr fontId="8" type="noConversion"/>
  </si>
  <si>
    <t>Min量程：</t>
    <phoneticPr fontId="8" type="noConversion"/>
  </si>
  <si>
    <t>Max量程：</t>
    <phoneticPr fontId="8" type="noConversion"/>
  </si>
  <si>
    <t>校准单位：</t>
    <phoneticPr fontId="8" type="noConversion"/>
  </si>
  <si>
    <t>准确度等级：</t>
    <phoneticPr fontId="8" type="noConversion"/>
  </si>
  <si>
    <t>证书编号：</t>
    <phoneticPr fontId="8" type="noConversion"/>
  </si>
  <si>
    <t>Certificate No.</t>
    <phoneticPr fontId="8" type="noConversion"/>
  </si>
  <si>
    <t>不合格</t>
    <phoneticPr fontId="8" type="noConversion"/>
  </si>
  <si>
    <t>合格</t>
    <phoneticPr fontId="8" type="noConversion"/>
  </si>
  <si>
    <t>示例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</si>
</sst>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00%"/>
    <numFmt numFmtId="180" formatCode="0.0000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9" fillId="0" borderId="0"/>
    <xf numFmtId="0" fontId="10" fillId="0" borderId="0">
      <alignment vertical="center"/>
    </xf>
    <xf numFmtId="0" fontId="2" fillId="0" borderId="0"/>
    <xf numFmtId="0" fontId="1" fillId="0" borderId="0"/>
    <xf numFmtId="9" fontId="16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6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top"/>
    </xf>
    <xf numFmtId="0" fontId="13" fillId="0" borderId="8" xfId="2" applyFont="1" applyBorder="1" applyAlignment="1" applyProtection="1">
      <alignment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Protection="1">
      <alignment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177" fontId="6" fillId="0" borderId="1" xfId="2" applyNumberFormat="1" applyFont="1" applyBorder="1" applyAlignment="1" applyProtection="1">
      <alignment horizontal="center" vertical="center"/>
      <protection locked="0"/>
    </xf>
    <xf numFmtId="178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2" applyFont="1" applyBorder="1" applyAlignment="1" applyProtection="1">
      <alignment horizontal="center" vertical="center" wrapText="1"/>
      <protection locked="0"/>
    </xf>
    <xf numFmtId="0" fontId="17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  <xf numFmtId="179" fontId="6" fillId="0" borderId="1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11" fillId="0" borderId="1" xfId="2" applyFont="1" applyBorder="1" applyAlignment="1">
      <alignment horizontal="center" vertical="center" wrapText="1"/>
    </xf>
    <xf numFmtId="31" fontId="11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8" fillId="0" borderId="1" xfId="2" applyFont="1" applyBorder="1" applyAlignment="1" applyProtection="1">
      <alignment horizontal="center" vertical="center" wrapText="1"/>
      <protection locked="0"/>
    </xf>
    <xf numFmtId="180" fontId="4" fillId="0" borderId="1" xfId="0" applyNumberFormat="1" applyFont="1" applyBorder="1" applyAlignment="1">
      <alignment horizontal="center" vertical="center"/>
    </xf>
    <xf numFmtId="180" fontId="4" fillId="0" borderId="1" xfId="2" applyNumberFormat="1" applyFont="1" applyBorder="1" applyAlignment="1" applyProtection="1">
      <alignment horizontal="center" vertical="center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80" fontId="6" fillId="0" borderId="1" xfId="2" applyNumberFormat="1" applyFont="1" applyBorder="1" applyAlignment="1" applyProtection="1">
      <alignment horizontal="center" vertical="center"/>
      <protection locked="0"/>
    </xf>
    <xf numFmtId="0" fontId="3" fillId="0" borderId="0" xfId="2" applyFont="1" applyAlignment="1">
      <alignment horizontal="right" vertical="center"/>
    </xf>
    <xf numFmtId="180" fontId="4" fillId="0" borderId="0" xfId="0" applyNumberFormat="1" applyFont="1" applyAlignment="1">
      <alignment horizontal="center" vertical="center"/>
    </xf>
    <xf numFmtId="180" fontId="4" fillId="0" borderId="0" xfId="2" applyNumberFormat="1" applyFont="1" applyAlignment="1" applyProtection="1">
      <alignment horizontal="center" vertical="center"/>
      <protection locked="0"/>
    </xf>
    <xf numFmtId="180" fontId="6" fillId="0" borderId="0" xfId="2" applyNumberFormat="1" applyFont="1" applyAlignment="1" applyProtection="1">
      <alignment horizontal="center" vertical="center" wrapText="1"/>
      <protection locked="0"/>
    </xf>
    <xf numFmtId="178" fontId="6" fillId="2" borderId="0" xfId="2" applyNumberFormat="1" applyFont="1" applyFill="1" applyAlignment="1" applyProtection="1">
      <alignment horizontal="center" vertical="center" wrapText="1"/>
      <protection locked="0"/>
    </xf>
    <xf numFmtId="180" fontId="6" fillId="0" borderId="0" xfId="2" applyNumberFormat="1" applyFont="1" applyAlignment="1" applyProtection="1">
      <alignment horizontal="center" vertical="center"/>
      <protection locked="0"/>
    </xf>
    <xf numFmtId="179" fontId="6" fillId="0" borderId="0" xfId="5" applyNumberFormat="1" applyFont="1" applyBorder="1" applyAlignment="1" applyProtection="1">
      <alignment horizontal="center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76" fontId="6" fillId="0" borderId="3" xfId="2" applyNumberFormat="1" applyFont="1" applyBorder="1" applyAlignment="1" applyProtection="1">
      <alignment horizontal="center" vertical="center"/>
      <protection locked="0"/>
    </xf>
    <xf numFmtId="176" fontId="11" fillId="0" borderId="2" xfId="2" applyNumberFormat="1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 wrapText="1"/>
      <protection locked="0"/>
    </xf>
    <xf numFmtId="179" fontId="6" fillId="0" borderId="2" xfId="5" applyNumberFormat="1" applyFont="1" applyBorder="1" applyAlignment="1" applyProtection="1">
      <alignment horizontal="center" vertical="center"/>
      <protection locked="0"/>
    </xf>
    <xf numFmtId="179" fontId="6" fillId="0" borderId="11" xfId="5" applyNumberFormat="1" applyFont="1" applyBorder="1" applyAlignment="1" applyProtection="1">
      <alignment horizontal="center" vertical="center"/>
      <protection locked="0"/>
    </xf>
    <xf numFmtId="179" fontId="6" fillId="0" borderId="3" xfId="5" applyNumberFormat="1" applyFont="1" applyBorder="1" applyAlignment="1" applyProtection="1">
      <alignment horizontal="center" vertical="center"/>
      <protection locked="0"/>
    </xf>
    <xf numFmtId="176" fontId="11" fillId="0" borderId="10" xfId="2" applyNumberFormat="1" applyFont="1" applyBorder="1" applyAlignment="1" applyProtection="1">
      <alignment horizontal="center" vertical="center" wrapText="1"/>
      <protection locked="0"/>
    </xf>
    <xf numFmtId="176" fontId="11" fillId="0" borderId="1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176" fontId="6" fillId="2" borderId="3" xfId="2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center" vertical="center"/>
    </xf>
    <xf numFmtId="0" fontId="7" fillId="2" borderId="3" xfId="2" applyFont="1" applyFill="1" applyBorder="1" applyAlignment="1" applyProtection="1">
      <alignment horizontal="center"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176" fontId="7" fillId="0" borderId="3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7" fillId="0" borderId="6" xfId="2" applyNumberFormat="1" applyFont="1" applyBorder="1" applyAlignment="1" applyProtection="1">
      <alignment horizontal="center" vertical="center" wrapText="1"/>
      <protection locked="0"/>
    </xf>
    <xf numFmtId="176" fontId="6" fillId="0" borderId="4" xfId="2" applyNumberFormat="1" applyFont="1" applyBorder="1" applyAlignment="1" applyProtection="1">
      <alignment horizontal="center" vertical="center" wrapText="1"/>
      <protection locked="0"/>
    </xf>
    <xf numFmtId="176" fontId="6" fillId="0" borderId="7" xfId="2" applyNumberFormat="1" applyFont="1" applyBorder="1" applyAlignment="1" applyProtection="1">
      <alignment horizontal="center" vertical="center" wrapText="1"/>
      <protection locked="0"/>
    </xf>
    <xf numFmtId="176" fontId="6" fillId="0" borderId="5" xfId="2" applyNumberFormat="1" applyFont="1" applyBorder="1" applyAlignment="1" applyProtection="1">
      <alignment horizontal="center" vertical="center" wrapText="1"/>
      <protection locked="0"/>
    </xf>
    <xf numFmtId="0" fontId="7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7" fillId="2" borderId="9" xfId="2" applyFont="1" applyFill="1" applyBorder="1" applyAlignment="1" applyProtection="1">
      <alignment horizontal="center" vertical="center" wrapText="1"/>
      <protection locked="0"/>
    </xf>
    <xf numFmtId="0" fontId="7" fillId="2" borderId="10" xfId="2" applyFont="1" applyFill="1" applyBorder="1" applyAlignment="1" applyProtection="1">
      <alignment horizontal="center" vertical="center" wrapText="1"/>
      <protection locked="0"/>
    </xf>
    <xf numFmtId="176" fontId="7" fillId="0" borderId="2" xfId="2" applyNumberFormat="1" applyFont="1" applyBorder="1" applyAlignment="1" applyProtection="1">
      <alignment horizontal="center" vertical="center" wrapText="1"/>
      <protection locked="0"/>
    </xf>
    <xf numFmtId="176" fontId="7" fillId="0" borderId="4" xfId="2" applyNumberFormat="1" applyFont="1" applyBorder="1" applyAlignment="1" applyProtection="1">
      <alignment horizontal="center" vertical="center" wrapText="1"/>
      <protection locked="0"/>
    </xf>
    <xf numFmtId="176" fontId="7" fillId="0" borderId="7" xfId="2" applyNumberFormat="1" applyFont="1" applyBorder="1" applyAlignment="1" applyProtection="1">
      <alignment horizontal="center" vertical="center" wrapText="1"/>
      <protection locked="0"/>
    </xf>
    <xf numFmtId="176" fontId="7" fillId="0" borderId="5" xfId="2" applyNumberFormat="1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left" vertical="center"/>
    </xf>
    <xf numFmtId="180" fontId="6" fillId="0" borderId="9" xfId="2" applyNumberFormat="1" applyFont="1" applyBorder="1" applyAlignment="1" applyProtection="1">
      <alignment horizontal="center" vertical="center" wrapText="1"/>
      <protection locked="0"/>
    </xf>
    <xf numFmtId="180" fontId="6" fillId="0" borderId="10" xfId="2" applyNumberFormat="1" applyFont="1" applyBorder="1" applyAlignment="1" applyProtection="1">
      <alignment horizontal="center" vertical="center" wrapText="1"/>
      <protection locked="0"/>
    </xf>
    <xf numFmtId="176" fontId="6" fillId="2" borderId="2" xfId="2" applyNumberFormat="1" applyFont="1" applyFill="1" applyBorder="1" applyAlignment="1" applyProtection="1">
      <alignment horizontal="center" vertical="center" wrapText="1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146</xdr:row>
      <xdr:rowOff>171450</xdr:rowOff>
    </xdr:from>
    <xdr:to>
      <xdr:col>3</xdr:col>
      <xdr:colOff>949325</xdr:colOff>
      <xdr:row>146</xdr:row>
      <xdr:rowOff>171450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040255" y="37799010"/>
          <a:ext cx="19265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9"/>
  <sheetViews>
    <sheetView tabSelected="1" workbookViewId="0">
      <selection activeCell="N6" sqref="N6"/>
    </sheetView>
  </sheetViews>
  <sheetFormatPr defaultColWidth="9" defaultRowHeight="15" x14ac:dyDescent="0.15"/>
  <cols>
    <col min="1" max="4" width="14.625" style="1" customWidth="1"/>
    <col min="5" max="5" width="7.875" style="1" customWidth="1"/>
    <col min="6" max="6" width="6.5" style="1" customWidth="1"/>
    <col min="7" max="7" width="14.625" style="1" customWidth="1"/>
    <col min="8" max="8" width="3.75" style="1" customWidth="1"/>
    <col min="9" max="9" width="14.375" style="1" customWidth="1"/>
    <col min="10" max="10" width="13.625" style="1" customWidth="1"/>
    <col min="11" max="11" width="13.125" style="1" customWidth="1"/>
    <col min="12" max="12" width="13.25" style="1" customWidth="1"/>
    <col min="13" max="13" width="14.25" style="1" customWidth="1"/>
    <col min="14" max="14" width="13.5" style="1" customWidth="1"/>
    <col min="15" max="15" width="7.625" style="1" customWidth="1"/>
    <col min="16" max="16384" width="9" style="1"/>
  </cols>
  <sheetData>
    <row r="1" spans="1:15" ht="26.45" customHeight="1" x14ac:dyDescent="0.15">
      <c r="E1" s="27" t="s">
        <v>42</v>
      </c>
      <c r="F1" s="73"/>
      <c r="G1" s="73"/>
      <c r="L1" s="39" t="s">
        <v>46</v>
      </c>
      <c r="M1" s="19" t="s">
        <v>44</v>
      </c>
      <c r="N1" s="19" t="s">
        <v>45</v>
      </c>
    </row>
    <row r="2" spans="1:15" ht="15" customHeight="1" x14ac:dyDescent="0.15">
      <c r="E2" s="3" t="s">
        <v>43</v>
      </c>
      <c r="F2" s="3"/>
      <c r="L2" s="40"/>
      <c r="M2" s="14">
        <v>5.4000000000000001E-4</v>
      </c>
      <c r="N2" s="14">
        <v>1E-4</v>
      </c>
    </row>
    <row r="3" spans="1:15" ht="23.1" customHeight="1" x14ac:dyDescent="0.15">
      <c r="A3" s="48" t="s">
        <v>23</v>
      </c>
      <c r="B3" s="64"/>
      <c r="C3" s="64"/>
      <c r="D3" s="64"/>
      <c r="E3" s="64"/>
      <c r="F3" s="64"/>
      <c r="G3" s="64"/>
      <c r="I3" s="48" t="s">
        <v>24</v>
      </c>
      <c r="J3" s="48"/>
      <c r="K3" s="48"/>
      <c r="L3" s="48"/>
      <c r="M3" s="48"/>
      <c r="N3" s="15"/>
      <c r="O3" s="15"/>
    </row>
    <row r="4" spans="1:15" ht="11.1" customHeight="1" x14ac:dyDescent="0.15">
      <c r="A4" s="65" t="s">
        <v>0</v>
      </c>
      <c r="B4" s="65"/>
      <c r="C4" s="65"/>
      <c r="D4" s="65"/>
      <c r="E4" s="65"/>
      <c r="F4" s="65"/>
      <c r="G4" s="65"/>
      <c r="I4" s="53" t="s">
        <v>33</v>
      </c>
      <c r="J4" s="53"/>
      <c r="K4" s="53"/>
      <c r="L4" s="53"/>
      <c r="M4" s="53"/>
    </row>
    <row r="5" spans="1:15" ht="15" customHeight="1" x14ac:dyDescent="0.15">
      <c r="A5" s="2"/>
      <c r="B5" s="2"/>
      <c r="C5" s="2"/>
      <c r="D5" s="2"/>
      <c r="E5" s="2"/>
      <c r="F5" s="2"/>
      <c r="G5" s="2"/>
      <c r="I5" s="22" t="s">
        <v>30</v>
      </c>
      <c r="J5" s="21"/>
      <c r="K5" s="22" t="s">
        <v>34</v>
      </c>
      <c r="L5" s="20"/>
      <c r="M5" s="22" t="s">
        <v>40</v>
      </c>
      <c r="N5" s="21" t="s">
        <v>32</v>
      </c>
    </row>
    <row r="6" spans="1:15" s="6" customFormat="1" ht="15" customHeight="1" x14ac:dyDescent="0.15">
      <c r="A6" s="7"/>
      <c r="B6" s="7"/>
      <c r="C6" s="7"/>
      <c r="D6" s="7"/>
      <c r="E6" s="7"/>
      <c r="F6" s="7"/>
      <c r="G6" s="7"/>
      <c r="I6" s="22" t="s">
        <v>41</v>
      </c>
      <c r="J6" s="17">
        <v>0.05</v>
      </c>
      <c r="K6" s="22" t="s">
        <v>38</v>
      </c>
      <c r="L6" s="16">
        <v>0</v>
      </c>
      <c r="M6" s="22" t="s">
        <v>39</v>
      </c>
      <c r="N6" s="17">
        <v>100</v>
      </c>
    </row>
    <row r="7" spans="1:15" s="6" customFormat="1" ht="18.600000000000001" customHeight="1" x14ac:dyDescent="0.15">
      <c r="A7" s="11" t="s">
        <v>7</v>
      </c>
      <c r="B7" s="5" t="s">
        <v>6</v>
      </c>
      <c r="C7" s="11"/>
      <c r="D7" s="12" t="s">
        <v>25</v>
      </c>
      <c r="E7" s="51" t="str">
        <f>$N$5</f>
        <v>psi</v>
      </c>
      <c r="F7" s="51"/>
      <c r="G7" s="4"/>
      <c r="I7" s="18" t="s">
        <v>7</v>
      </c>
      <c r="J7" s="13" t="str">
        <f>B7</f>
        <v>CH1</v>
      </c>
      <c r="L7" s="12"/>
      <c r="M7" s="5"/>
      <c r="N7" s="13"/>
    </row>
    <row r="8" spans="1:15" s="6" customFormat="1" ht="15" customHeight="1" x14ac:dyDescent="0.15">
      <c r="A8" s="66" t="s">
        <v>28</v>
      </c>
      <c r="B8" s="54" t="s">
        <v>29</v>
      </c>
      <c r="C8" s="56"/>
      <c r="D8" s="57" t="s">
        <v>27</v>
      </c>
      <c r="E8" s="59" t="s">
        <v>26</v>
      </c>
      <c r="F8" s="60"/>
      <c r="G8" s="49" t="s">
        <v>3</v>
      </c>
      <c r="I8" s="36" t="s">
        <v>28</v>
      </c>
      <c r="J8" s="45" t="s">
        <v>35</v>
      </c>
      <c r="K8" s="47" t="s">
        <v>31</v>
      </c>
      <c r="L8" s="41" t="s">
        <v>36</v>
      </c>
      <c r="M8" s="38" t="s">
        <v>31</v>
      </c>
      <c r="N8" s="37" t="s">
        <v>37</v>
      </c>
    </row>
    <row r="9" spans="1:15" s="6" customFormat="1" x14ac:dyDescent="0.15">
      <c r="A9" s="54"/>
      <c r="B9" s="8" t="s">
        <v>4</v>
      </c>
      <c r="C9" s="9" t="s">
        <v>5</v>
      </c>
      <c r="D9" s="58"/>
      <c r="E9" s="61"/>
      <c r="F9" s="62"/>
      <c r="G9" s="50"/>
      <c r="I9" s="35" t="str">
        <f>"（"&amp;$N$5&amp;"）"</f>
        <v>（psi）</v>
      </c>
      <c r="J9" s="46"/>
      <c r="K9" s="47"/>
      <c r="L9" s="41"/>
      <c r="M9" s="38"/>
      <c r="N9" s="38"/>
    </row>
    <row r="10" spans="1:15" s="6" customFormat="1" x14ac:dyDescent="0.15">
      <c r="A10" s="23">
        <v>0</v>
      </c>
      <c r="B10" s="23">
        <v>0</v>
      </c>
      <c r="C10" s="24">
        <v>0</v>
      </c>
      <c r="D10" s="25">
        <f>IF(ABS(B10-A10)&gt;ABS(C10-A10),B10-A10,C10-A10)</f>
        <v>0</v>
      </c>
      <c r="E10" s="52">
        <f>ABS(B10-C10)</f>
        <v>0</v>
      </c>
      <c r="F10" s="52"/>
      <c r="G10" s="10">
        <v>1.2999999999999999E-2</v>
      </c>
      <c r="I10" s="26">
        <f t="shared" ref="I10:I13" si="0">A10</f>
        <v>0</v>
      </c>
      <c r="J10" s="14">
        <f>ABS(D10)/($N$6-$L$6)</f>
        <v>0</v>
      </c>
      <c r="K10" s="42">
        <f>MAX(J10:J13)</f>
        <v>0</v>
      </c>
      <c r="L10" s="14">
        <f>ABS(E10)/($N$6-$L$6)</f>
        <v>0</v>
      </c>
      <c r="M10" s="42">
        <f>MAX(L10:L13)</f>
        <v>0</v>
      </c>
      <c r="N10" s="38"/>
    </row>
    <row r="11" spans="1:15" s="6" customFormat="1" x14ac:dyDescent="0.15">
      <c r="A11" s="23">
        <v>0</v>
      </c>
      <c r="B11" s="23">
        <v>0</v>
      </c>
      <c r="C11" s="24">
        <v>0</v>
      </c>
      <c r="D11" s="25">
        <f t="shared" ref="D11:D13" si="1">IF(ABS(B11-A11)&gt;ABS(C11-A11),B11-A11,C11-A11)</f>
        <v>0</v>
      </c>
      <c r="E11" s="52">
        <f t="shared" ref="E11:E13" si="2">ABS(B11-C11)</f>
        <v>0</v>
      </c>
      <c r="F11" s="52"/>
      <c r="G11" s="10">
        <v>1.2999999999999999E-2</v>
      </c>
      <c r="I11" s="26">
        <f t="shared" si="0"/>
        <v>0</v>
      </c>
      <c r="J11" s="14">
        <f t="shared" ref="J11:J13" si="3">ABS(D11)/($N$6-$L$6)</f>
        <v>0</v>
      </c>
      <c r="K11" s="43"/>
      <c r="L11" s="14">
        <f t="shared" ref="L11:L13" si="4">ABS(E11)/($N$6-$L$6)</f>
        <v>0</v>
      </c>
      <c r="M11" s="43"/>
      <c r="N11" s="38"/>
    </row>
    <row r="12" spans="1:15" s="6" customFormat="1" x14ac:dyDescent="0.15">
      <c r="A12" s="23">
        <v>0</v>
      </c>
      <c r="B12" s="23">
        <v>0</v>
      </c>
      <c r="C12" s="24">
        <v>0</v>
      </c>
      <c r="D12" s="25">
        <f t="shared" si="1"/>
        <v>0</v>
      </c>
      <c r="E12" s="52">
        <f t="shared" si="2"/>
        <v>0</v>
      </c>
      <c r="F12" s="52"/>
      <c r="G12" s="10">
        <v>1.2999999999999999E-2</v>
      </c>
      <c r="I12" s="26">
        <f t="shared" si="0"/>
        <v>0</v>
      </c>
      <c r="J12" s="14">
        <f t="shared" si="3"/>
        <v>0</v>
      </c>
      <c r="K12" s="43"/>
      <c r="L12" s="14">
        <f t="shared" si="4"/>
        <v>0</v>
      </c>
      <c r="M12" s="43"/>
      <c r="N12" s="38"/>
    </row>
    <row r="13" spans="1:15" s="6" customFormat="1" x14ac:dyDescent="0.15">
      <c r="A13" s="23">
        <v>0</v>
      </c>
      <c r="B13" s="23">
        <v>0</v>
      </c>
      <c r="C13" s="24">
        <v>0</v>
      </c>
      <c r="D13" s="25">
        <f t="shared" si="1"/>
        <v>0</v>
      </c>
      <c r="E13" s="52">
        <f t="shared" si="2"/>
        <v>0</v>
      </c>
      <c r="F13" s="52"/>
      <c r="G13" s="10">
        <v>1.2999999999999999E-2</v>
      </c>
      <c r="I13" s="26">
        <f t="shared" si="0"/>
        <v>0</v>
      </c>
      <c r="J13" s="14">
        <f t="shared" si="3"/>
        <v>0</v>
      </c>
      <c r="K13" s="44"/>
      <c r="L13" s="14">
        <f t="shared" si="4"/>
        <v>0</v>
      </c>
      <c r="M13" s="44"/>
      <c r="N13" s="38"/>
    </row>
    <row r="14" spans="1:15" s="6" customFormat="1" x14ac:dyDescent="0.15">
      <c r="A14" s="28"/>
      <c r="B14" s="28"/>
      <c r="C14" s="29"/>
      <c r="D14" s="30"/>
      <c r="E14" s="30"/>
      <c r="F14" s="30"/>
      <c r="G14" s="31"/>
      <c r="I14" s="32"/>
      <c r="J14" s="32"/>
      <c r="K14" s="32"/>
      <c r="L14" s="32"/>
      <c r="M14" s="33"/>
      <c r="N14" s="34"/>
    </row>
    <row r="15" spans="1:15" x14ac:dyDescent="0.15">
      <c r="A15" s="11" t="s">
        <v>7</v>
      </c>
      <c r="B15" s="5" t="s">
        <v>8</v>
      </c>
      <c r="C15" s="11"/>
      <c r="D15" s="12" t="s">
        <v>25</v>
      </c>
      <c r="E15" s="51" t="str">
        <f>$N$5</f>
        <v>psi</v>
      </c>
      <c r="F15" s="51"/>
      <c r="G15" s="4"/>
      <c r="I15" s="18" t="s">
        <v>7</v>
      </c>
      <c r="J15" s="13" t="str">
        <f>B15</f>
        <v>CH2</v>
      </c>
      <c r="K15" s="6"/>
      <c r="L15" s="12"/>
      <c r="M15" s="5"/>
      <c r="N15" s="13"/>
    </row>
    <row r="16" spans="1:15" ht="15" customHeight="1" x14ac:dyDescent="0.15">
      <c r="A16" s="54" t="s">
        <v>28</v>
      </c>
      <c r="B16" s="54" t="s">
        <v>29</v>
      </c>
      <c r="C16" s="56"/>
      <c r="D16" s="57" t="s">
        <v>27</v>
      </c>
      <c r="E16" s="59" t="s">
        <v>26</v>
      </c>
      <c r="F16" s="60"/>
      <c r="G16" s="49" t="s">
        <v>3</v>
      </c>
      <c r="I16" s="36" t="s">
        <v>28</v>
      </c>
      <c r="J16" s="45" t="s">
        <v>35</v>
      </c>
      <c r="K16" s="47" t="s">
        <v>31</v>
      </c>
      <c r="L16" s="41" t="s">
        <v>36</v>
      </c>
      <c r="M16" s="38" t="s">
        <v>31</v>
      </c>
      <c r="N16" s="37" t="s">
        <v>37</v>
      </c>
    </row>
    <row r="17" spans="1:14" x14ac:dyDescent="0.15">
      <c r="A17" s="55"/>
      <c r="B17" s="8" t="s">
        <v>4</v>
      </c>
      <c r="C17" s="9" t="s">
        <v>5</v>
      </c>
      <c r="D17" s="58"/>
      <c r="E17" s="61"/>
      <c r="F17" s="62"/>
      <c r="G17" s="50"/>
      <c r="I17" s="35" t="str">
        <f>"（"&amp;$N$5&amp;"）"</f>
        <v>（psi）</v>
      </c>
      <c r="J17" s="46"/>
      <c r="K17" s="47"/>
      <c r="L17" s="41"/>
      <c r="M17" s="38"/>
      <c r="N17" s="38"/>
    </row>
    <row r="18" spans="1:14" x14ac:dyDescent="0.15">
      <c r="A18" s="23">
        <v>0</v>
      </c>
      <c r="B18" s="23">
        <v>0</v>
      </c>
      <c r="C18" s="24">
        <v>0</v>
      </c>
      <c r="D18" s="25">
        <f>IF(ABS(B18-A18)&gt;ABS(C18-A18),B18-A18,C18-A18)</f>
        <v>0</v>
      </c>
      <c r="E18" s="52">
        <f>ABS(B18-C18)</f>
        <v>0</v>
      </c>
      <c r="F18" s="52"/>
      <c r="G18" s="10">
        <v>1.2999999999999999E-2</v>
      </c>
      <c r="I18" s="26">
        <f t="shared" ref="I18:I21" si="5">A18</f>
        <v>0</v>
      </c>
      <c r="J18" s="14">
        <f>ABS(D18)/($N$6-$L$6)</f>
        <v>0</v>
      </c>
      <c r="K18" s="42">
        <f>MAX(J18:J21)</f>
        <v>0</v>
      </c>
      <c r="L18" s="14">
        <f>ABS(E18)/($N$6-$L$6)</f>
        <v>0</v>
      </c>
      <c r="M18" s="42">
        <f>MAX(L18:L21)</f>
        <v>0</v>
      </c>
      <c r="N18" s="38"/>
    </row>
    <row r="19" spans="1:14" x14ac:dyDescent="0.15">
      <c r="A19" s="23">
        <v>0</v>
      </c>
      <c r="B19" s="23">
        <v>0</v>
      </c>
      <c r="C19" s="24">
        <v>0</v>
      </c>
      <c r="D19" s="25">
        <f t="shared" ref="D19:D21" si="6">IF(ABS(B19-A19)&gt;ABS(C19-A19),B19-A19,C19-A19)</f>
        <v>0</v>
      </c>
      <c r="E19" s="52">
        <f t="shared" ref="E19:E21" si="7">ABS(B19-C19)</f>
        <v>0</v>
      </c>
      <c r="F19" s="52"/>
      <c r="G19" s="10">
        <v>1.2999999999999999E-2</v>
      </c>
      <c r="I19" s="26">
        <f t="shared" si="5"/>
        <v>0</v>
      </c>
      <c r="J19" s="14">
        <f t="shared" ref="J19:J21" si="8">ABS(D19)/($N$6-$L$6)</f>
        <v>0</v>
      </c>
      <c r="K19" s="43"/>
      <c r="L19" s="14">
        <f t="shared" ref="L19:L21" si="9">ABS(E19)/($N$6-$L$6)</f>
        <v>0</v>
      </c>
      <c r="M19" s="43"/>
      <c r="N19" s="38"/>
    </row>
    <row r="20" spans="1:14" x14ac:dyDescent="0.15">
      <c r="A20" s="23">
        <v>0</v>
      </c>
      <c r="B20" s="23">
        <v>0</v>
      </c>
      <c r="C20" s="24">
        <v>0</v>
      </c>
      <c r="D20" s="25">
        <f t="shared" si="6"/>
        <v>0</v>
      </c>
      <c r="E20" s="52">
        <f t="shared" si="7"/>
        <v>0</v>
      </c>
      <c r="F20" s="52"/>
      <c r="G20" s="10">
        <v>1.2999999999999999E-2</v>
      </c>
      <c r="I20" s="26">
        <f t="shared" si="5"/>
        <v>0</v>
      </c>
      <c r="J20" s="14">
        <f t="shared" si="8"/>
        <v>0</v>
      </c>
      <c r="K20" s="43"/>
      <c r="L20" s="14">
        <f t="shared" si="9"/>
        <v>0</v>
      </c>
      <c r="M20" s="43"/>
      <c r="N20" s="38"/>
    </row>
    <row r="21" spans="1:14" x14ac:dyDescent="0.15">
      <c r="A21" s="23">
        <v>0</v>
      </c>
      <c r="B21" s="23">
        <v>0</v>
      </c>
      <c r="C21" s="24">
        <v>0</v>
      </c>
      <c r="D21" s="25">
        <f t="shared" si="6"/>
        <v>0</v>
      </c>
      <c r="E21" s="52">
        <f t="shared" si="7"/>
        <v>0</v>
      </c>
      <c r="F21" s="52"/>
      <c r="G21" s="10">
        <v>1.2999999999999999E-2</v>
      </c>
      <c r="I21" s="26">
        <f t="shared" si="5"/>
        <v>0</v>
      </c>
      <c r="J21" s="14">
        <f t="shared" si="8"/>
        <v>0</v>
      </c>
      <c r="K21" s="44"/>
      <c r="L21" s="14">
        <f t="shared" si="9"/>
        <v>0</v>
      </c>
      <c r="M21" s="44"/>
      <c r="N21" s="38"/>
    </row>
    <row r="22" spans="1:14" x14ac:dyDescent="0.15">
      <c r="A22" s="28"/>
      <c r="B22" s="28"/>
      <c r="C22" s="29"/>
      <c r="D22" s="30"/>
      <c r="E22" s="30"/>
      <c r="F22" s="30"/>
      <c r="G22" s="31"/>
      <c r="I22" s="32"/>
      <c r="J22" s="32"/>
      <c r="K22" s="32"/>
      <c r="L22" s="32"/>
      <c r="M22" s="32"/>
      <c r="N22" s="34"/>
    </row>
    <row r="23" spans="1:14" x14ac:dyDescent="0.15">
      <c r="A23" s="11" t="s">
        <v>7</v>
      </c>
      <c r="B23" s="5" t="s">
        <v>9</v>
      </c>
      <c r="C23" s="11"/>
      <c r="D23" s="12" t="s">
        <v>25</v>
      </c>
      <c r="E23" s="51" t="str">
        <f>$N$5</f>
        <v>psi</v>
      </c>
      <c r="F23" s="51"/>
      <c r="G23" s="4"/>
      <c r="I23" s="18" t="s">
        <v>7</v>
      </c>
      <c r="J23" s="13" t="str">
        <f>B23</f>
        <v>CH3</v>
      </c>
      <c r="K23" s="6"/>
      <c r="L23" s="12"/>
      <c r="M23" s="5"/>
      <c r="N23" s="13"/>
    </row>
    <row r="24" spans="1:14" ht="15" customHeight="1" x14ac:dyDescent="0.15">
      <c r="A24" s="66" t="s">
        <v>28</v>
      </c>
      <c r="B24" s="67" t="s">
        <v>29</v>
      </c>
      <c r="C24" s="68"/>
      <c r="D24" s="69" t="s">
        <v>27</v>
      </c>
      <c r="E24" s="59" t="s">
        <v>26</v>
      </c>
      <c r="F24" s="70"/>
      <c r="G24" s="76" t="s">
        <v>3</v>
      </c>
      <c r="I24" s="36" t="s">
        <v>28</v>
      </c>
      <c r="J24" s="45" t="s">
        <v>35</v>
      </c>
      <c r="K24" s="47" t="s">
        <v>31</v>
      </c>
      <c r="L24" s="41" t="s">
        <v>36</v>
      </c>
      <c r="M24" s="38" t="s">
        <v>31</v>
      </c>
      <c r="N24" s="37" t="s">
        <v>37</v>
      </c>
    </row>
    <row r="25" spans="1:14" x14ac:dyDescent="0.15">
      <c r="A25" s="54"/>
      <c r="B25" s="8" t="s">
        <v>4</v>
      </c>
      <c r="C25" s="9" t="s">
        <v>5</v>
      </c>
      <c r="D25" s="57"/>
      <c r="E25" s="71"/>
      <c r="F25" s="72"/>
      <c r="G25" s="49"/>
      <c r="I25" s="35" t="str">
        <f>"（"&amp;$N$5&amp;"）"</f>
        <v>（psi）</v>
      </c>
      <c r="J25" s="46"/>
      <c r="K25" s="47"/>
      <c r="L25" s="41"/>
      <c r="M25" s="38"/>
      <c r="N25" s="38"/>
    </row>
    <row r="26" spans="1:14" x14ac:dyDescent="0.15">
      <c r="A26" s="23">
        <v>0</v>
      </c>
      <c r="B26" s="23">
        <v>0</v>
      </c>
      <c r="C26" s="24">
        <v>0</v>
      </c>
      <c r="D26" s="25">
        <f>IF(ABS(B26-A26)&gt;ABS(C26-A26),B26-A26,C26-A26)</f>
        <v>0</v>
      </c>
      <c r="E26" s="52">
        <f>ABS(B26-C26)</f>
        <v>0</v>
      </c>
      <c r="F26" s="52"/>
      <c r="G26" s="10">
        <v>1.2999999999999999E-2</v>
      </c>
      <c r="I26" s="26">
        <f t="shared" ref="I26:I29" si="10">A26</f>
        <v>0</v>
      </c>
      <c r="J26" s="14">
        <f>ABS(D26)/($N$6-$L$6)</f>
        <v>0</v>
      </c>
      <c r="K26" s="42">
        <f>MAX(J26:J29)</f>
        <v>0</v>
      </c>
      <c r="L26" s="14">
        <f>ABS(E26)/($N$6-$L$6)</f>
        <v>0</v>
      </c>
      <c r="M26" s="42">
        <f>MAX(L26:L29)</f>
        <v>0</v>
      </c>
      <c r="N26" s="38"/>
    </row>
    <row r="27" spans="1:14" x14ac:dyDescent="0.15">
      <c r="A27" s="23">
        <v>0</v>
      </c>
      <c r="B27" s="23">
        <v>0</v>
      </c>
      <c r="C27" s="24">
        <v>0</v>
      </c>
      <c r="D27" s="25">
        <f t="shared" ref="D27:D29" si="11">IF(ABS(B27-A27)&gt;ABS(C27-A27),B27-A27,C27-A27)</f>
        <v>0</v>
      </c>
      <c r="E27" s="52">
        <f t="shared" ref="E27:E29" si="12">ABS(B27-C27)</f>
        <v>0</v>
      </c>
      <c r="F27" s="52"/>
      <c r="G27" s="10">
        <v>1.2999999999999999E-2</v>
      </c>
      <c r="I27" s="26">
        <f t="shared" si="10"/>
        <v>0</v>
      </c>
      <c r="J27" s="14">
        <f t="shared" ref="J27:J29" si="13">ABS(D27)/($N$6-$L$6)</f>
        <v>0</v>
      </c>
      <c r="K27" s="43"/>
      <c r="L27" s="14">
        <f t="shared" ref="L27:L29" si="14">ABS(E27)/($N$6-$L$6)</f>
        <v>0</v>
      </c>
      <c r="M27" s="43"/>
      <c r="N27" s="38"/>
    </row>
    <row r="28" spans="1:14" x14ac:dyDescent="0.15">
      <c r="A28" s="23">
        <v>0</v>
      </c>
      <c r="B28" s="23">
        <v>0</v>
      </c>
      <c r="C28" s="24">
        <v>0</v>
      </c>
      <c r="D28" s="25">
        <f t="shared" si="11"/>
        <v>0</v>
      </c>
      <c r="E28" s="52">
        <f t="shared" si="12"/>
        <v>0</v>
      </c>
      <c r="F28" s="52"/>
      <c r="G28" s="10">
        <v>1.2999999999999999E-2</v>
      </c>
      <c r="I28" s="26">
        <f t="shared" si="10"/>
        <v>0</v>
      </c>
      <c r="J28" s="14">
        <f t="shared" si="13"/>
        <v>0</v>
      </c>
      <c r="K28" s="43"/>
      <c r="L28" s="14">
        <f t="shared" si="14"/>
        <v>0</v>
      </c>
      <c r="M28" s="43"/>
      <c r="N28" s="38"/>
    </row>
    <row r="29" spans="1:14" x14ac:dyDescent="0.15">
      <c r="A29" s="23">
        <v>0</v>
      </c>
      <c r="B29" s="23">
        <v>0</v>
      </c>
      <c r="C29" s="24">
        <v>0</v>
      </c>
      <c r="D29" s="25">
        <f t="shared" si="11"/>
        <v>0</v>
      </c>
      <c r="E29" s="52">
        <f t="shared" si="12"/>
        <v>0</v>
      </c>
      <c r="F29" s="52"/>
      <c r="G29" s="10">
        <v>1.2999999999999999E-2</v>
      </c>
      <c r="I29" s="26">
        <f t="shared" si="10"/>
        <v>0</v>
      </c>
      <c r="J29" s="14">
        <f t="shared" si="13"/>
        <v>0</v>
      </c>
      <c r="K29" s="44"/>
      <c r="L29" s="14">
        <f t="shared" si="14"/>
        <v>0</v>
      </c>
      <c r="M29" s="44"/>
      <c r="N29" s="38"/>
    </row>
    <row r="30" spans="1:14" x14ac:dyDescent="0.15">
      <c r="A30" s="28"/>
      <c r="B30" s="28"/>
      <c r="C30" s="29"/>
      <c r="D30" s="30"/>
      <c r="E30" s="30"/>
      <c r="F30" s="30"/>
      <c r="G30" s="31"/>
      <c r="I30" s="32"/>
      <c r="J30" s="32"/>
      <c r="K30" s="32"/>
      <c r="L30" s="32"/>
      <c r="M30" s="33"/>
      <c r="N30" s="34"/>
    </row>
    <row r="31" spans="1:14" x14ac:dyDescent="0.15">
      <c r="A31" s="11" t="s">
        <v>7</v>
      </c>
      <c r="B31" s="5" t="s">
        <v>10</v>
      </c>
      <c r="C31" s="11"/>
      <c r="D31" s="12" t="s">
        <v>25</v>
      </c>
      <c r="E31" s="51" t="str">
        <f>$N$5</f>
        <v>psi</v>
      </c>
      <c r="F31" s="51"/>
      <c r="G31" s="4"/>
      <c r="I31" s="18" t="s">
        <v>7</v>
      </c>
      <c r="J31" s="13" t="str">
        <f>B31</f>
        <v>CH4</v>
      </c>
      <c r="K31" s="6"/>
      <c r="L31" s="12"/>
      <c r="M31" s="5"/>
      <c r="N31" s="13"/>
    </row>
    <row r="32" spans="1:14" ht="15" customHeight="1" x14ac:dyDescent="0.15">
      <c r="A32" s="54" t="s">
        <v>28</v>
      </c>
      <c r="B32" s="54" t="s">
        <v>29</v>
      </c>
      <c r="C32" s="56"/>
      <c r="D32" s="57" t="s">
        <v>27</v>
      </c>
      <c r="E32" s="59" t="s">
        <v>26</v>
      </c>
      <c r="F32" s="60"/>
      <c r="G32" s="49" t="s">
        <v>3</v>
      </c>
      <c r="I32" s="36" t="s">
        <v>28</v>
      </c>
      <c r="J32" s="45" t="s">
        <v>35</v>
      </c>
      <c r="K32" s="47" t="s">
        <v>31</v>
      </c>
      <c r="L32" s="41" t="s">
        <v>36</v>
      </c>
      <c r="M32" s="38" t="s">
        <v>31</v>
      </c>
      <c r="N32" s="37" t="s">
        <v>37</v>
      </c>
    </row>
    <row r="33" spans="1:14" x14ac:dyDescent="0.15">
      <c r="A33" s="55"/>
      <c r="B33" s="8" t="s">
        <v>4</v>
      </c>
      <c r="C33" s="9" t="s">
        <v>5</v>
      </c>
      <c r="D33" s="58"/>
      <c r="E33" s="61"/>
      <c r="F33" s="62"/>
      <c r="G33" s="50"/>
      <c r="I33" s="35" t="str">
        <f>"（"&amp;$N$5&amp;"）"</f>
        <v>（psi）</v>
      </c>
      <c r="J33" s="46"/>
      <c r="K33" s="47"/>
      <c r="L33" s="41"/>
      <c r="M33" s="38"/>
      <c r="N33" s="38"/>
    </row>
    <row r="34" spans="1:14" x14ac:dyDescent="0.15">
      <c r="A34" s="23">
        <v>0</v>
      </c>
      <c r="B34" s="23">
        <v>0</v>
      </c>
      <c r="C34" s="24">
        <v>0</v>
      </c>
      <c r="D34" s="25">
        <f>IF(ABS(B34-A34)&gt;ABS(C34-A34),B34-A34,C34-A34)</f>
        <v>0</v>
      </c>
      <c r="E34" s="74">
        <f>ABS(B34-C34)</f>
        <v>0</v>
      </c>
      <c r="F34" s="75"/>
      <c r="G34" s="10">
        <v>1.2999999999999999E-2</v>
      </c>
      <c r="I34" s="26">
        <f t="shared" ref="I34:I37" si="15">A34</f>
        <v>0</v>
      </c>
      <c r="J34" s="14">
        <f>ABS(D34)/($N$6-$L$6)</f>
        <v>0</v>
      </c>
      <c r="K34" s="42">
        <f>MAX(J34:J37)</f>
        <v>0</v>
      </c>
      <c r="L34" s="14">
        <f>ABS(E34)/($N$6-$L$6)</f>
        <v>0</v>
      </c>
      <c r="M34" s="42">
        <f>MAX(L34:L37)</f>
        <v>0</v>
      </c>
      <c r="N34" s="38"/>
    </row>
    <row r="35" spans="1:14" x14ac:dyDescent="0.15">
      <c r="A35" s="23">
        <v>0</v>
      </c>
      <c r="B35" s="23">
        <v>0</v>
      </c>
      <c r="C35" s="24">
        <v>0</v>
      </c>
      <c r="D35" s="25">
        <f t="shared" ref="D35:D37" si="16">IF(ABS(B35-A35)&gt;ABS(C35-A35),B35-A35,C35-A35)</f>
        <v>0</v>
      </c>
      <c r="E35" s="74">
        <f t="shared" ref="E35:E37" si="17">ABS(B35-C35)</f>
        <v>0</v>
      </c>
      <c r="F35" s="75"/>
      <c r="G35" s="10">
        <v>1.2999999999999999E-2</v>
      </c>
      <c r="I35" s="26">
        <f t="shared" si="15"/>
        <v>0</v>
      </c>
      <c r="J35" s="14">
        <f t="shared" ref="J35:J37" si="18">ABS(D35)/($N$6-$L$6)</f>
        <v>0</v>
      </c>
      <c r="K35" s="43"/>
      <c r="L35" s="14">
        <f t="shared" ref="L35:L37" si="19">ABS(E35)/($N$6-$L$6)</f>
        <v>0</v>
      </c>
      <c r="M35" s="43"/>
      <c r="N35" s="38"/>
    </row>
    <row r="36" spans="1:14" x14ac:dyDescent="0.15">
      <c r="A36" s="23">
        <v>0</v>
      </c>
      <c r="B36" s="23">
        <v>0</v>
      </c>
      <c r="C36" s="24">
        <v>0</v>
      </c>
      <c r="D36" s="25">
        <f t="shared" si="16"/>
        <v>0</v>
      </c>
      <c r="E36" s="52">
        <f t="shared" si="17"/>
        <v>0</v>
      </c>
      <c r="F36" s="52"/>
      <c r="G36" s="10">
        <v>1.2999999999999999E-2</v>
      </c>
      <c r="I36" s="26">
        <f t="shared" si="15"/>
        <v>0</v>
      </c>
      <c r="J36" s="14">
        <f t="shared" si="18"/>
        <v>0</v>
      </c>
      <c r="K36" s="43"/>
      <c r="L36" s="14">
        <f t="shared" si="19"/>
        <v>0</v>
      </c>
      <c r="M36" s="43"/>
      <c r="N36" s="38"/>
    </row>
    <row r="37" spans="1:14" x14ac:dyDescent="0.15">
      <c r="A37" s="23">
        <v>0</v>
      </c>
      <c r="B37" s="23">
        <v>0</v>
      </c>
      <c r="C37" s="24">
        <v>0</v>
      </c>
      <c r="D37" s="25">
        <f t="shared" si="16"/>
        <v>0</v>
      </c>
      <c r="E37" s="52">
        <f t="shared" si="17"/>
        <v>0</v>
      </c>
      <c r="F37" s="52"/>
      <c r="G37" s="10">
        <v>1.2999999999999999E-2</v>
      </c>
      <c r="I37" s="26">
        <f t="shared" si="15"/>
        <v>0</v>
      </c>
      <c r="J37" s="14">
        <f t="shared" si="18"/>
        <v>0</v>
      </c>
      <c r="K37" s="44"/>
      <c r="L37" s="14">
        <f t="shared" si="19"/>
        <v>0</v>
      </c>
      <c r="M37" s="44"/>
      <c r="N37" s="38"/>
    </row>
    <row r="38" spans="1:14" x14ac:dyDescent="0.15">
      <c r="A38" s="28"/>
      <c r="B38" s="28"/>
      <c r="C38" s="29"/>
      <c r="D38" s="30"/>
      <c r="E38" s="30"/>
      <c r="F38" s="30"/>
      <c r="G38" s="31"/>
      <c r="I38" s="32"/>
      <c r="J38" s="32"/>
      <c r="K38" s="32"/>
      <c r="L38" s="32"/>
      <c r="M38" s="32"/>
      <c r="N38" s="34"/>
    </row>
    <row r="39" spans="1:14" x14ac:dyDescent="0.15">
      <c r="A39" s="11" t="s">
        <v>7</v>
      </c>
      <c r="B39" s="5" t="s">
        <v>11</v>
      </c>
      <c r="C39" s="11"/>
      <c r="D39" s="12" t="s">
        <v>25</v>
      </c>
      <c r="E39" s="51" t="str">
        <f>$N$5</f>
        <v>psi</v>
      </c>
      <c r="F39" s="51"/>
      <c r="G39" s="4"/>
      <c r="I39" s="18" t="s">
        <v>7</v>
      </c>
      <c r="J39" s="13" t="str">
        <f>B39</f>
        <v>CH5</v>
      </c>
      <c r="K39" s="6"/>
      <c r="L39" s="12"/>
      <c r="M39" s="5"/>
      <c r="N39" s="13"/>
    </row>
    <row r="40" spans="1:14" ht="15" customHeight="1" x14ac:dyDescent="0.15">
      <c r="A40" s="54" t="s">
        <v>28</v>
      </c>
      <c r="B40" s="54" t="s">
        <v>29</v>
      </c>
      <c r="C40" s="56"/>
      <c r="D40" s="57" t="s">
        <v>27</v>
      </c>
      <c r="E40" s="59" t="s">
        <v>26</v>
      </c>
      <c r="F40" s="60"/>
      <c r="G40" s="49" t="s">
        <v>3</v>
      </c>
      <c r="I40" s="36" t="s">
        <v>28</v>
      </c>
      <c r="J40" s="45" t="s">
        <v>35</v>
      </c>
      <c r="K40" s="47" t="s">
        <v>31</v>
      </c>
      <c r="L40" s="41" t="s">
        <v>36</v>
      </c>
      <c r="M40" s="38" t="s">
        <v>31</v>
      </c>
      <c r="N40" s="37" t="s">
        <v>37</v>
      </c>
    </row>
    <row r="41" spans="1:14" x14ac:dyDescent="0.15">
      <c r="A41" s="55"/>
      <c r="B41" s="8" t="s">
        <v>4</v>
      </c>
      <c r="C41" s="9" t="s">
        <v>5</v>
      </c>
      <c r="D41" s="58"/>
      <c r="E41" s="61"/>
      <c r="F41" s="62"/>
      <c r="G41" s="50"/>
      <c r="I41" s="35" t="str">
        <f>"（"&amp;$N$5&amp;"）"</f>
        <v>（psi）</v>
      </c>
      <c r="J41" s="46"/>
      <c r="K41" s="47"/>
      <c r="L41" s="41"/>
      <c r="M41" s="38"/>
      <c r="N41" s="38"/>
    </row>
    <row r="42" spans="1:14" x14ac:dyDescent="0.15">
      <c r="A42" s="23">
        <v>0</v>
      </c>
      <c r="B42" s="23">
        <v>0</v>
      </c>
      <c r="C42" s="24">
        <v>0</v>
      </c>
      <c r="D42" s="25">
        <f>IF(ABS(B42-A42)&gt;ABS(C42-A42),B42-A42,C42-A42)</f>
        <v>0</v>
      </c>
      <c r="E42" s="52">
        <f>ABS(B42-C42)</f>
        <v>0</v>
      </c>
      <c r="F42" s="52"/>
      <c r="G42" s="10">
        <v>1.2999999999999999E-2</v>
      </c>
      <c r="I42" s="26">
        <f t="shared" ref="I42:I45" si="20">A42</f>
        <v>0</v>
      </c>
      <c r="J42" s="14">
        <f>ABS(D42)/($N$6-$L$6)</f>
        <v>0</v>
      </c>
      <c r="K42" s="42">
        <f>MAX(J42:J45)</f>
        <v>0</v>
      </c>
      <c r="L42" s="14">
        <f>ABS(E42)/($N$6-$L$6)</f>
        <v>0</v>
      </c>
      <c r="M42" s="42">
        <f>MAX(L42:L45)</f>
        <v>0</v>
      </c>
      <c r="N42" s="38"/>
    </row>
    <row r="43" spans="1:14" x14ac:dyDescent="0.15">
      <c r="A43" s="23">
        <v>0</v>
      </c>
      <c r="B43" s="23">
        <v>0</v>
      </c>
      <c r="C43" s="24">
        <v>0</v>
      </c>
      <c r="D43" s="25">
        <f t="shared" ref="D43:D45" si="21">IF(ABS(B43-A43)&gt;ABS(C43-A43),B43-A43,C43-A43)</f>
        <v>0</v>
      </c>
      <c r="E43" s="52">
        <f t="shared" ref="E43:E45" si="22">ABS(B43-C43)</f>
        <v>0</v>
      </c>
      <c r="F43" s="52"/>
      <c r="G43" s="10">
        <v>1.2999999999999999E-2</v>
      </c>
      <c r="I43" s="26">
        <f t="shared" si="20"/>
        <v>0</v>
      </c>
      <c r="J43" s="14">
        <f t="shared" ref="J43:J45" si="23">ABS(D43)/($N$6-$L$6)</f>
        <v>0</v>
      </c>
      <c r="K43" s="43"/>
      <c r="L43" s="14">
        <f t="shared" ref="L43:L45" si="24">ABS(E43)/($N$6-$L$6)</f>
        <v>0</v>
      </c>
      <c r="M43" s="43"/>
      <c r="N43" s="38"/>
    </row>
    <row r="44" spans="1:14" x14ac:dyDescent="0.15">
      <c r="A44" s="23">
        <v>0</v>
      </c>
      <c r="B44" s="23">
        <v>0</v>
      </c>
      <c r="C44" s="24">
        <v>0</v>
      </c>
      <c r="D44" s="25">
        <f t="shared" si="21"/>
        <v>0</v>
      </c>
      <c r="E44" s="74">
        <f t="shared" si="22"/>
        <v>0</v>
      </c>
      <c r="F44" s="75"/>
      <c r="G44" s="10">
        <v>1.2999999999999999E-2</v>
      </c>
      <c r="I44" s="26">
        <f t="shared" si="20"/>
        <v>0</v>
      </c>
      <c r="J44" s="14">
        <f t="shared" si="23"/>
        <v>0</v>
      </c>
      <c r="K44" s="43"/>
      <c r="L44" s="14">
        <f t="shared" si="24"/>
        <v>0</v>
      </c>
      <c r="M44" s="43"/>
      <c r="N44" s="38"/>
    </row>
    <row r="45" spans="1:14" x14ac:dyDescent="0.15">
      <c r="A45" s="23">
        <v>0</v>
      </c>
      <c r="B45" s="23">
        <v>0</v>
      </c>
      <c r="C45" s="24">
        <v>0</v>
      </c>
      <c r="D45" s="25">
        <f t="shared" si="21"/>
        <v>0</v>
      </c>
      <c r="E45" s="74">
        <f t="shared" si="22"/>
        <v>0</v>
      </c>
      <c r="F45" s="75"/>
      <c r="G45" s="10">
        <v>1.2999999999999999E-2</v>
      </c>
      <c r="I45" s="26">
        <f t="shared" si="20"/>
        <v>0</v>
      </c>
      <c r="J45" s="14">
        <f t="shared" si="23"/>
        <v>0</v>
      </c>
      <c r="K45" s="44"/>
      <c r="L45" s="14">
        <f t="shared" si="24"/>
        <v>0</v>
      </c>
      <c r="M45" s="44"/>
      <c r="N45" s="38"/>
    </row>
    <row r="46" spans="1:14" x14ac:dyDescent="0.15">
      <c r="A46" s="28"/>
      <c r="B46" s="28"/>
      <c r="C46" s="29"/>
      <c r="D46" s="30"/>
      <c r="E46" s="30"/>
      <c r="F46" s="30"/>
      <c r="G46" s="31"/>
      <c r="I46" s="32"/>
      <c r="J46" s="33"/>
      <c r="K46" s="33"/>
      <c r="L46" s="33"/>
      <c r="M46" s="33"/>
      <c r="N46" s="34"/>
    </row>
    <row r="47" spans="1:14" x14ac:dyDescent="0.15">
      <c r="A47" s="28"/>
      <c r="B47" s="28"/>
      <c r="C47" s="29"/>
      <c r="D47" s="30"/>
      <c r="E47" s="30"/>
      <c r="F47" s="30"/>
      <c r="G47" s="31"/>
      <c r="I47" s="32"/>
      <c r="J47" s="33"/>
      <c r="K47" s="33"/>
      <c r="L47" s="33"/>
      <c r="M47" s="33"/>
      <c r="N47" s="34"/>
    </row>
    <row r="48" spans="1:14" x14ac:dyDescent="0.15">
      <c r="A48" s="28"/>
      <c r="B48" s="28"/>
      <c r="C48" s="29"/>
      <c r="D48" s="30"/>
      <c r="E48" s="30"/>
      <c r="F48" s="30"/>
      <c r="G48" s="31"/>
      <c r="I48" s="32"/>
      <c r="J48" s="33"/>
      <c r="K48" s="33"/>
      <c r="L48" s="33"/>
      <c r="M48" s="33"/>
      <c r="N48" s="34"/>
    </row>
    <row r="49" spans="1:14" x14ac:dyDescent="0.15">
      <c r="A49" s="28"/>
      <c r="B49" s="28"/>
      <c r="C49" s="29"/>
      <c r="D49" s="30"/>
      <c r="E49" s="30"/>
      <c r="F49" s="30"/>
      <c r="G49" s="31"/>
      <c r="I49" s="32"/>
      <c r="J49" s="33"/>
      <c r="K49" s="33"/>
      <c r="L49" s="33"/>
      <c r="M49" s="33"/>
      <c r="N49" s="34"/>
    </row>
    <row r="51" spans="1:14" x14ac:dyDescent="0.15">
      <c r="A51" s="11" t="s">
        <v>7</v>
      </c>
      <c r="B51" s="5" t="s">
        <v>12</v>
      </c>
      <c r="C51" s="11"/>
      <c r="D51" s="12" t="s">
        <v>25</v>
      </c>
      <c r="E51" s="51" t="str">
        <f>$N$5</f>
        <v>psi</v>
      </c>
      <c r="F51" s="51"/>
      <c r="G51" s="4"/>
      <c r="I51" s="18" t="s">
        <v>7</v>
      </c>
      <c r="J51" s="13" t="str">
        <f>B51</f>
        <v>CH6</v>
      </c>
      <c r="K51" s="6"/>
      <c r="L51" s="12"/>
      <c r="M51" s="5"/>
      <c r="N51" s="13"/>
    </row>
    <row r="52" spans="1:14" ht="15" customHeight="1" x14ac:dyDescent="0.15">
      <c r="A52" s="54" t="s">
        <v>28</v>
      </c>
      <c r="B52" s="54" t="s">
        <v>29</v>
      </c>
      <c r="C52" s="56"/>
      <c r="D52" s="57" t="s">
        <v>27</v>
      </c>
      <c r="E52" s="59" t="s">
        <v>26</v>
      </c>
      <c r="F52" s="60"/>
      <c r="G52" s="49" t="s">
        <v>3</v>
      </c>
      <c r="I52" s="36" t="s">
        <v>28</v>
      </c>
      <c r="J52" s="45" t="s">
        <v>35</v>
      </c>
      <c r="K52" s="47" t="s">
        <v>31</v>
      </c>
      <c r="L52" s="41" t="s">
        <v>36</v>
      </c>
      <c r="M52" s="38" t="s">
        <v>31</v>
      </c>
      <c r="N52" s="37" t="s">
        <v>37</v>
      </c>
    </row>
    <row r="53" spans="1:14" x14ac:dyDescent="0.15">
      <c r="A53" s="55"/>
      <c r="B53" s="8" t="s">
        <v>4</v>
      </c>
      <c r="C53" s="9" t="s">
        <v>5</v>
      </c>
      <c r="D53" s="58"/>
      <c r="E53" s="61"/>
      <c r="F53" s="62"/>
      <c r="G53" s="50"/>
      <c r="I53" s="35" t="str">
        <f>"（"&amp;$N$5&amp;"）"</f>
        <v>（psi）</v>
      </c>
      <c r="J53" s="46"/>
      <c r="K53" s="47"/>
      <c r="L53" s="41"/>
      <c r="M53" s="38"/>
      <c r="N53" s="38"/>
    </row>
    <row r="54" spans="1:14" x14ac:dyDescent="0.15">
      <c r="A54" s="23">
        <v>0</v>
      </c>
      <c r="B54" s="23">
        <v>0</v>
      </c>
      <c r="C54" s="24">
        <v>0</v>
      </c>
      <c r="D54" s="25">
        <f>IF(ABS(B54-A54)&gt;ABS(C54-A54),B54-A54,C54-A54)</f>
        <v>0</v>
      </c>
      <c r="E54" s="52">
        <f>ABS(B54-C54)</f>
        <v>0</v>
      </c>
      <c r="F54" s="52"/>
      <c r="G54" s="10">
        <v>1.2999999999999999E-2</v>
      </c>
      <c r="I54" s="26">
        <f t="shared" ref="I54:I57" si="25">A54</f>
        <v>0</v>
      </c>
      <c r="J54" s="14">
        <f>ABS(D54)/($N$6-$L$6)</f>
        <v>0</v>
      </c>
      <c r="K54" s="42">
        <f>MAX(J54:J57)</f>
        <v>0</v>
      </c>
      <c r="L54" s="14">
        <f>ABS(E54)/($N$6-$L$6)</f>
        <v>0</v>
      </c>
      <c r="M54" s="42">
        <f>MAX(L54:L57)</f>
        <v>0</v>
      </c>
      <c r="N54" s="38"/>
    </row>
    <row r="55" spans="1:14" x14ac:dyDescent="0.15">
      <c r="A55" s="23">
        <v>0</v>
      </c>
      <c r="B55" s="23">
        <v>0</v>
      </c>
      <c r="C55" s="24">
        <v>0</v>
      </c>
      <c r="D55" s="25">
        <f t="shared" ref="D55:D57" si="26">IF(ABS(B55-A55)&gt;ABS(C55-A55),B55-A55,C55-A55)</f>
        <v>0</v>
      </c>
      <c r="E55" s="52">
        <f t="shared" ref="E55:E57" si="27">ABS(B55-C55)</f>
        <v>0</v>
      </c>
      <c r="F55" s="52"/>
      <c r="G55" s="10">
        <v>1.2999999999999999E-2</v>
      </c>
      <c r="I55" s="26">
        <f t="shared" si="25"/>
        <v>0</v>
      </c>
      <c r="J55" s="14">
        <f t="shared" ref="J55:J57" si="28">ABS(D55)/($N$6-$L$6)</f>
        <v>0</v>
      </c>
      <c r="K55" s="43"/>
      <c r="L55" s="14">
        <f t="shared" ref="L55:L57" si="29">ABS(E55)/($N$6-$L$6)</f>
        <v>0</v>
      </c>
      <c r="M55" s="43"/>
      <c r="N55" s="38"/>
    </row>
    <row r="56" spans="1:14" x14ac:dyDescent="0.15">
      <c r="A56" s="23">
        <v>0</v>
      </c>
      <c r="B56" s="23">
        <v>0</v>
      </c>
      <c r="C56" s="24">
        <v>0</v>
      </c>
      <c r="D56" s="25">
        <f t="shared" si="26"/>
        <v>0</v>
      </c>
      <c r="E56" s="52">
        <f t="shared" si="27"/>
        <v>0</v>
      </c>
      <c r="F56" s="52"/>
      <c r="G56" s="10">
        <v>1.2999999999999999E-2</v>
      </c>
      <c r="I56" s="26">
        <f t="shared" si="25"/>
        <v>0</v>
      </c>
      <c r="J56" s="14">
        <f t="shared" si="28"/>
        <v>0</v>
      </c>
      <c r="K56" s="43"/>
      <c r="L56" s="14">
        <f t="shared" si="29"/>
        <v>0</v>
      </c>
      <c r="M56" s="43"/>
      <c r="N56" s="38"/>
    </row>
    <row r="57" spans="1:14" x14ac:dyDescent="0.15">
      <c r="A57" s="23">
        <v>0</v>
      </c>
      <c r="B57" s="23">
        <v>0</v>
      </c>
      <c r="C57" s="24">
        <v>0</v>
      </c>
      <c r="D57" s="25">
        <f t="shared" si="26"/>
        <v>0</v>
      </c>
      <c r="E57" s="52">
        <f t="shared" si="27"/>
        <v>0</v>
      </c>
      <c r="F57" s="52"/>
      <c r="G57" s="10">
        <v>1.2999999999999999E-2</v>
      </c>
      <c r="I57" s="26">
        <f t="shared" si="25"/>
        <v>0</v>
      </c>
      <c r="J57" s="14">
        <f t="shared" si="28"/>
        <v>0</v>
      </c>
      <c r="K57" s="44"/>
      <c r="L57" s="14">
        <f t="shared" si="29"/>
        <v>0</v>
      </c>
      <c r="M57" s="44"/>
      <c r="N57" s="38"/>
    </row>
    <row r="58" spans="1:14" x14ac:dyDescent="0.15">
      <c r="A58" s="28"/>
      <c r="B58" s="28"/>
      <c r="C58" s="29"/>
      <c r="D58" s="30"/>
      <c r="E58" s="30"/>
      <c r="F58" s="30"/>
      <c r="G58" s="31"/>
      <c r="I58" s="32"/>
      <c r="J58" s="32"/>
      <c r="K58" s="32"/>
      <c r="L58" s="32"/>
      <c r="M58" s="32"/>
      <c r="N58" s="34"/>
    </row>
    <row r="59" spans="1:14" x14ac:dyDescent="0.15">
      <c r="A59" s="11" t="s">
        <v>7</v>
      </c>
      <c r="B59" s="5" t="s">
        <v>13</v>
      </c>
      <c r="C59" s="11"/>
      <c r="D59" s="12" t="s">
        <v>25</v>
      </c>
      <c r="E59" s="51" t="str">
        <f>$N$5</f>
        <v>psi</v>
      </c>
      <c r="F59" s="51"/>
      <c r="G59" s="4"/>
      <c r="I59" s="18" t="s">
        <v>7</v>
      </c>
      <c r="J59" s="13" t="str">
        <f>B59</f>
        <v>CH7</v>
      </c>
      <c r="K59" s="6"/>
      <c r="L59" s="12"/>
      <c r="M59" s="5"/>
      <c r="N59" s="13"/>
    </row>
    <row r="60" spans="1:14" ht="15" customHeight="1" x14ac:dyDescent="0.15">
      <c r="A60" s="54" t="s">
        <v>28</v>
      </c>
      <c r="B60" s="54" t="s">
        <v>29</v>
      </c>
      <c r="C60" s="56"/>
      <c r="D60" s="57" t="s">
        <v>27</v>
      </c>
      <c r="E60" s="59" t="s">
        <v>26</v>
      </c>
      <c r="F60" s="60"/>
      <c r="G60" s="49" t="s">
        <v>3</v>
      </c>
      <c r="I60" s="36" t="s">
        <v>28</v>
      </c>
      <c r="J60" s="45" t="s">
        <v>35</v>
      </c>
      <c r="K60" s="47" t="s">
        <v>31</v>
      </c>
      <c r="L60" s="41" t="s">
        <v>36</v>
      </c>
      <c r="M60" s="38" t="s">
        <v>31</v>
      </c>
      <c r="N60" s="37" t="s">
        <v>37</v>
      </c>
    </row>
    <row r="61" spans="1:14" x14ac:dyDescent="0.15">
      <c r="A61" s="55"/>
      <c r="B61" s="8" t="s">
        <v>4</v>
      </c>
      <c r="C61" s="9" t="s">
        <v>5</v>
      </c>
      <c r="D61" s="58"/>
      <c r="E61" s="61"/>
      <c r="F61" s="62"/>
      <c r="G61" s="50"/>
      <c r="I61" s="35" t="str">
        <f>"（"&amp;$N$5&amp;"）"</f>
        <v>（psi）</v>
      </c>
      <c r="J61" s="46"/>
      <c r="K61" s="47"/>
      <c r="L61" s="41"/>
      <c r="M61" s="38"/>
      <c r="N61" s="38"/>
    </row>
    <row r="62" spans="1:14" x14ac:dyDescent="0.15">
      <c r="A62" s="23">
        <v>0</v>
      </c>
      <c r="B62" s="23">
        <v>0</v>
      </c>
      <c r="C62" s="24">
        <v>0</v>
      </c>
      <c r="D62" s="25">
        <f>IF(ABS(B62-A62)&gt;ABS(C62-A62),B62-A62,C62-A62)</f>
        <v>0</v>
      </c>
      <c r="E62" s="52">
        <f>ABS(B62-C62)</f>
        <v>0</v>
      </c>
      <c r="F62" s="52"/>
      <c r="G62" s="10">
        <v>1.2999999999999999E-2</v>
      </c>
      <c r="I62" s="26">
        <f t="shared" ref="I62:I65" si="30">A62</f>
        <v>0</v>
      </c>
      <c r="J62" s="14">
        <f>ABS(D62)/($N$6-$L$6)</f>
        <v>0</v>
      </c>
      <c r="K62" s="42">
        <f>MAX(J62:J65)</f>
        <v>0</v>
      </c>
      <c r="L62" s="14">
        <f>ABS(E62)/($N$6-$L$6)</f>
        <v>0</v>
      </c>
      <c r="M62" s="42">
        <f>MAX(L62:L65)</f>
        <v>0</v>
      </c>
      <c r="N62" s="38"/>
    </row>
    <row r="63" spans="1:14" x14ac:dyDescent="0.15">
      <c r="A63" s="23">
        <v>0</v>
      </c>
      <c r="B63" s="23">
        <v>0</v>
      </c>
      <c r="C63" s="24">
        <v>0</v>
      </c>
      <c r="D63" s="25">
        <f t="shared" ref="D63:D65" si="31">IF(ABS(B63-A63)&gt;ABS(C63-A63),B63-A63,C63-A63)</f>
        <v>0</v>
      </c>
      <c r="E63" s="52">
        <f t="shared" ref="E63:E65" si="32">ABS(B63-C63)</f>
        <v>0</v>
      </c>
      <c r="F63" s="52"/>
      <c r="G63" s="10">
        <v>1.2999999999999999E-2</v>
      </c>
      <c r="I63" s="26">
        <f t="shared" si="30"/>
        <v>0</v>
      </c>
      <c r="J63" s="14">
        <f t="shared" ref="J63:J65" si="33">ABS(D63)/($N$6-$L$6)</f>
        <v>0</v>
      </c>
      <c r="K63" s="43"/>
      <c r="L63" s="14">
        <f t="shared" ref="L63:L65" si="34">ABS(E63)/($N$6-$L$6)</f>
        <v>0</v>
      </c>
      <c r="M63" s="43"/>
      <c r="N63" s="38"/>
    </row>
    <row r="64" spans="1:14" x14ac:dyDescent="0.15">
      <c r="A64" s="23">
        <v>0</v>
      </c>
      <c r="B64" s="23">
        <v>0</v>
      </c>
      <c r="C64" s="24">
        <v>0</v>
      </c>
      <c r="D64" s="25">
        <f t="shared" si="31"/>
        <v>0</v>
      </c>
      <c r="E64" s="52">
        <f t="shared" si="32"/>
        <v>0</v>
      </c>
      <c r="F64" s="52"/>
      <c r="G64" s="10">
        <v>1.2999999999999999E-2</v>
      </c>
      <c r="I64" s="26">
        <f t="shared" si="30"/>
        <v>0</v>
      </c>
      <c r="J64" s="14">
        <f t="shared" si="33"/>
        <v>0</v>
      </c>
      <c r="K64" s="43"/>
      <c r="L64" s="14">
        <f t="shared" si="34"/>
        <v>0</v>
      </c>
      <c r="M64" s="43"/>
      <c r="N64" s="38"/>
    </row>
    <row r="65" spans="1:14" x14ac:dyDescent="0.15">
      <c r="A65" s="23">
        <v>0</v>
      </c>
      <c r="B65" s="23">
        <v>0</v>
      </c>
      <c r="C65" s="24">
        <v>0</v>
      </c>
      <c r="D65" s="25">
        <f t="shared" si="31"/>
        <v>0</v>
      </c>
      <c r="E65" s="52">
        <f t="shared" si="32"/>
        <v>0</v>
      </c>
      <c r="F65" s="52"/>
      <c r="G65" s="10">
        <v>1.2999999999999999E-2</v>
      </c>
      <c r="I65" s="26">
        <f t="shared" si="30"/>
        <v>0</v>
      </c>
      <c r="J65" s="14">
        <f t="shared" si="33"/>
        <v>0</v>
      </c>
      <c r="K65" s="44"/>
      <c r="L65" s="14">
        <f t="shared" si="34"/>
        <v>0</v>
      </c>
      <c r="M65" s="44"/>
      <c r="N65" s="38"/>
    </row>
    <row r="66" spans="1:14" x14ac:dyDescent="0.15">
      <c r="A66" s="28"/>
      <c r="B66" s="28"/>
      <c r="C66" s="29"/>
      <c r="D66" s="30"/>
      <c r="E66" s="30"/>
      <c r="F66" s="30"/>
      <c r="G66" s="31"/>
      <c r="I66" s="32"/>
      <c r="J66" s="32"/>
      <c r="K66" s="32"/>
      <c r="L66" s="32"/>
      <c r="M66" s="33"/>
      <c r="N66" s="34"/>
    </row>
    <row r="67" spans="1:14" x14ac:dyDescent="0.15">
      <c r="A67" s="11" t="s">
        <v>7</v>
      </c>
      <c r="B67" s="5" t="s">
        <v>14</v>
      </c>
      <c r="C67" s="11"/>
      <c r="D67" s="12" t="s">
        <v>25</v>
      </c>
      <c r="E67" s="51" t="str">
        <f>$N$5</f>
        <v>psi</v>
      </c>
      <c r="F67" s="51"/>
      <c r="G67" s="4"/>
      <c r="I67" s="18" t="s">
        <v>7</v>
      </c>
      <c r="J67" s="13" t="str">
        <f>B67</f>
        <v>CH8</v>
      </c>
      <c r="K67" s="6"/>
      <c r="L67" s="12"/>
      <c r="M67" s="5"/>
      <c r="N67" s="13"/>
    </row>
    <row r="68" spans="1:14" ht="15" customHeight="1" x14ac:dyDescent="0.15">
      <c r="A68" s="54" t="s">
        <v>28</v>
      </c>
      <c r="B68" s="54" t="s">
        <v>29</v>
      </c>
      <c r="C68" s="56"/>
      <c r="D68" s="57" t="s">
        <v>27</v>
      </c>
      <c r="E68" s="59" t="s">
        <v>26</v>
      </c>
      <c r="F68" s="60"/>
      <c r="G68" s="49" t="s">
        <v>3</v>
      </c>
      <c r="I68" s="36" t="s">
        <v>28</v>
      </c>
      <c r="J68" s="45" t="s">
        <v>35</v>
      </c>
      <c r="K68" s="47" t="s">
        <v>31</v>
      </c>
      <c r="L68" s="41" t="s">
        <v>36</v>
      </c>
      <c r="M68" s="38" t="s">
        <v>31</v>
      </c>
      <c r="N68" s="37" t="s">
        <v>37</v>
      </c>
    </row>
    <row r="69" spans="1:14" x14ac:dyDescent="0.15">
      <c r="A69" s="55"/>
      <c r="B69" s="8" t="s">
        <v>4</v>
      </c>
      <c r="C69" s="9" t="s">
        <v>5</v>
      </c>
      <c r="D69" s="58"/>
      <c r="E69" s="61"/>
      <c r="F69" s="62"/>
      <c r="G69" s="50"/>
      <c r="I69" s="35" t="str">
        <f>"（"&amp;$N$5&amp;"）"</f>
        <v>（psi）</v>
      </c>
      <c r="J69" s="46"/>
      <c r="K69" s="47"/>
      <c r="L69" s="41"/>
      <c r="M69" s="38"/>
      <c r="N69" s="38"/>
    </row>
    <row r="70" spans="1:14" x14ac:dyDescent="0.15">
      <c r="A70" s="23">
        <v>0</v>
      </c>
      <c r="B70" s="23">
        <v>0</v>
      </c>
      <c r="C70" s="24">
        <v>0</v>
      </c>
      <c r="D70" s="25">
        <f>IF(ABS(B70-A70)&gt;ABS(C70-A70),B70-A70,C70-A70)</f>
        <v>0</v>
      </c>
      <c r="E70" s="52">
        <f>ABS(B70-C70)</f>
        <v>0</v>
      </c>
      <c r="F70" s="52"/>
      <c r="G70" s="10">
        <v>1.2999999999999999E-2</v>
      </c>
      <c r="I70" s="26">
        <f t="shared" ref="I70:I73" si="35">A70</f>
        <v>0</v>
      </c>
      <c r="J70" s="14">
        <f>ABS(D70)/($N$6-$L$6)</f>
        <v>0</v>
      </c>
      <c r="K70" s="42">
        <f>MAX(J70:J73)</f>
        <v>0</v>
      </c>
      <c r="L70" s="14">
        <f>ABS(E70)/($N$6-$L$6)</f>
        <v>0</v>
      </c>
      <c r="M70" s="42">
        <f>MAX(L70:L73)</f>
        <v>0</v>
      </c>
      <c r="N70" s="38"/>
    </row>
    <row r="71" spans="1:14" x14ac:dyDescent="0.15">
      <c r="A71" s="23">
        <v>0</v>
      </c>
      <c r="B71" s="23">
        <v>0</v>
      </c>
      <c r="C71" s="24">
        <v>0</v>
      </c>
      <c r="D71" s="25">
        <f t="shared" ref="D71:D73" si="36">IF(ABS(B71-A71)&gt;ABS(C71-A71),B71-A71,C71-A71)</f>
        <v>0</v>
      </c>
      <c r="E71" s="52">
        <f t="shared" ref="E71:E73" si="37">ABS(B71-C71)</f>
        <v>0</v>
      </c>
      <c r="F71" s="52"/>
      <c r="G71" s="10">
        <v>1.2999999999999999E-2</v>
      </c>
      <c r="I71" s="26">
        <f t="shared" si="35"/>
        <v>0</v>
      </c>
      <c r="J71" s="14">
        <f t="shared" ref="J71:J73" si="38">ABS(D71)/($N$6-$L$6)</f>
        <v>0</v>
      </c>
      <c r="K71" s="43"/>
      <c r="L71" s="14">
        <f t="shared" ref="L71:L73" si="39">ABS(E71)/($N$6-$L$6)</f>
        <v>0</v>
      </c>
      <c r="M71" s="43"/>
      <c r="N71" s="38"/>
    </row>
    <row r="72" spans="1:14" x14ac:dyDescent="0.15">
      <c r="A72" s="23">
        <v>0</v>
      </c>
      <c r="B72" s="23">
        <v>0</v>
      </c>
      <c r="C72" s="24">
        <v>0</v>
      </c>
      <c r="D72" s="25">
        <f t="shared" si="36"/>
        <v>0</v>
      </c>
      <c r="E72" s="52">
        <f t="shared" si="37"/>
        <v>0</v>
      </c>
      <c r="F72" s="52"/>
      <c r="G72" s="10">
        <v>1.2999999999999999E-2</v>
      </c>
      <c r="I72" s="26">
        <f t="shared" si="35"/>
        <v>0</v>
      </c>
      <c r="J72" s="14">
        <f t="shared" si="38"/>
        <v>0</v>
      </c>
      <c r="K72" s="43"/>
      <c r="L72" s="14">
        <f t="shared" si="39"/>
        <v>0</v>
      </c>
      <c r="M72" s="43"/>
      <c r="N72" s="38"/>
    </row>
    <row r="73" spans="1:14" x14ac:dyDescent="0.15">
      <c r="A73" s="23">
        <v>0</v>
      </c>
      <c r="B73" s="23">
        <v>0</v>
      </c>
      <c r="C73" s="24">
        <v>0</v>
      </c>
      <c r="D73" s="25">
        <f t="shared" si="36"/>
        <v>0</v>
      </c>
      <c r="E73" s="52">
        <f t="shared" si="37"/>
        <v>0</v>
      </c>
      <c r="F73" s="52"/>
      <c r="G73" s="10">
        <v>1.2999999999999999E-2</v>
      </c>
      <c r="I73" s="26">
        <f t="shared" si="35"/>
        <v>0</v>
      </c>
      <c r="J73" s="14">
        <f t="shared" si="38"/>
        <v>0</v>
      </c>
      <c r="K73" s="44"/>
      <c r="L73" s="14">
        <f t="shared" si="39"/>
        <v>0</v>
      </c>
      <c r="M73" s="44"/>
      <c r="N73" s="38"/>
    </row>
    <row r="74" spans="1:14" x14ac:dyDescent="0.15">
      <c r="A74" s="28"/>
      <c r="B74" s="28"/>
      <c r="C74" s="29"/>
      <c r="D74" s="30"/>
      <c r="E74" s="30"/>
      <c r="F74" s="30"/>
      <c r="G74" s="31"/>
      <c r="I74" s="32"/>
      <c r="J74" s="32"/>
      <c r="K74" s="32"/>
      <c r="L74" s="32"/>
      <c r="M74" s="33"/>
      <c r="N74" s="34"/>
    </row>
    <row r="75" spans="1:14" x14ac:dyDescent="0.15">
      <c r="A75" s="11" t="s">
        <v>7</v>
      </c>
      <c r="B75" s="5" t="s">
        <v>15</v>
      </c>
      <c r="C75" s="11"/>
      <c r="D75" s="12" t="s">
        <v>25</v>
      </c>
      <c r="E75" s="51" t="str">
        <f>$N$5</f>
        <v>psi</v>
      </c>
      <c r="F75" s="51"/>
      <c r="G75" s="4"/>
      <c r="I75" s="18" t="s">
        <v>7</v>
      </c>
      <c r="J75" s="13" t="str">
        <f>B75</f>
        <v>CH9</v>
      </c>
      <c r="K75" s="6"/>
      <c r="L75" s="12"/>
      <c r="M75" s="5"/>
      <c r="N75" s="13"/>
    </row>
    <row r="76" spans="1:14" ht="15" customHeight="1" x14ac:dyDescent="0.15">
      <c r="A76" s="54" t="s">
        <v>28</v>
      </c>
      <c r="B76" s="54" t="s">
        <v>29</v>
      </c>
      <c r="C76" s="56"/>
      <c r="D76" s="57" t="s">
        <v>27</v>
      </c>
      <c r="E76" s="59" t="s">
        <v>26</v>
      </c>
      <c r="F76" s="60"/>
      <c r="G76" s="49" t="s">
        <v>3</v>
      </c>
      <c r="I76" s="36" t="s">
        <v>28</v>
      </c>
      <c r="J76" s="45" t="s">
        <v>35</v>
      </c>
      <c r="K76" s="47" t="s">
        <v>31</v>
      </c>
      <c r="L76" s="41" t="s">
        <v>36</v>
      </c>
      <c r="M76" s="38" t="s">
        <v>31</v>
      </c>
      <c r="N76" s="37" t="s">
        <v>37</v>
      </c>
    </row>
    <row r="77" spans="1:14" x14ac:dyDescent="0.15">
      <c r="A77" s="55"/>
      <c r="B77" s="8" t="s">
        <v>4</v>
      </c>
      <c r="C77" s="9" t="s">
        <v>5</v>
      </c>
      <c r="D77" s="58"/>
      <c r="E77" s="61"/>
      <c r="F77" s="62"/>
      <c r="G77" s="50"/>
      <c r="I77" s="35" t="str">
        <f>"（"&amp;$N$5&amp;"）"</f>
        <v>（psi）</v>
      </c>
      <c r="J77" s="46"/>
      <c r="K77" s="47"/>
      <c r="L77" s="41"/>
      <c r="M77" s="38"/>
      <c r="N77" s="38"/>
    </row>
    <row r="78" spans="1:14" x14ac:dyDescent="0.15">
      <c r="A78" s="23">
        <v>0</v>
      </c>
      <c r="B78" s="23">
        <v>0</v>
      </c>
      <c r="C78" s="24">
        <v>0</v>
      </c>
      <c r="D78" s="25">
        <f>IF(ABS(B78-A78)&gt;ABS(C78-A78),B78-A78,C78-A78)</f>
        <v>0</v>
      </c>
      <c r="E78" s="52">
        <f>ABS(B78-C78)</f>
        <v>0</v>
      </c>
      <c r="F78" s="52"/>
      <c r="G78" s="10">
        <v>1.2999999999999999E-2</v>
      </c>
      <c r="I78" s="26">
        <f t="shared" ref="I78:I81" si="40">A78</f>
        <v>0</v>
      </c>
      <c r="J78" s="14">
        <f>ABS(D78)/($N$6-$L$6)</f>
        <v>0</v>
      </c>
      <c r="K78" s="42">
        <f>MAX(J78:J81)</f>
        <v>0</v>
      </c>
      <c r="L78" s="14">
        <f>ABS(E78)/($N$6-$L$6)</f>
        <v>0</v>
      </c>
      <c r="M78" s="42">
        <f>MAX(L78:L81)</f>
        <v>0</v>
      </c>
      <c r="N78" s="38"/>
    </row>
    <row r="79" spans="1:14" x14ac:dyDescent="0.15">
      <c r="A79" s="23">
        <v>0</v>
      </c>
      <c r="B79" s="23">
        <v>0</v>
      </c>
      <c r="C79" s="24">
        <v>0</v>
      </c>
      <c r="D79" s="25">
        <f t="shared" ref="D79:D81" si="41">IF(ABS(B79-A79)&gt;ABS(C79-A79),B79-A79,C79-A79)</f>
        <v>0</v>
      </c>
      <c r="E79" s="52">
        <f t="shared" ref="E79:E81" si="42">ABS(B79-C79)</f>
        <v>0</v>
      </c>
      <c r="F79" s="52"/>
      <c r="G79" s="10">
        <v>1.2999999999999999E-2</v>
      </c>
      <c r="I79" s="26">
        <f t="shared" si="40"/>
        <v>0</v>
      </c>
      <c r="J79" s="14">
        <f t="shared" ref="J79:J81" si="43">ABS(D79)/($N$6-$L$6)</f>
        <v>0</v>
      </c>
      <c r="K79" s="43"/>
      <c r="L79" s="14">
        <f t="shared" ref="L79:L81" si="44">ABS(E79)/($N$6-$L$6)</f>
        <v>0</v>
      </c>
      <c r="M79" s="43"/>
      <c r="N79" s="38"/>
    </row>
    <row r="80" spans="1:14" x14ac:dyDescent="0.15">
      <c r="A80" s="23">
        <v>0</v>
      </c>
      <c r="B80" s="23">
        <v>0</v>
      </c>
      <c r="C80" s="24">
        <v>0</v>
      </c>
      <c r="D80" s="25">
        <f t="shared" si="41"/>
        <v>0</v>
      </c>
      <c r="E80" s="52">
        <f t="shared" si="42"/>
        <v>0</v>
      </c>
      <c r="F80" s="52"/>
      <c r="G80" s="10">
        <v>1.2999999999999999E-2</v>
      </c>
      <c r="I80" s="26">
        <f t="shared" si="40"/>
        <v>0</v>
      </c>
      <c r="J80" s="14">
        <f t="shared" si="43"/>
        <v>0</v>
      </c>
      <c r="K80" s="43"/>
      <c r="L80" s="14">
        <f t="shared" si="44"/>
        <v>0</v>
      </c>
      <c r="M80" s="43"/>
      <c r="N80" s="38"/>
    </row>
    <row r="81" spans="1:14" x14ac:dyDescent="0.15">
      <c r="A81" s="23">
        <v>0</v>
      </c>
      <c r="B81" s="23">
        <v>0</v>
      </c>
      <c r="C81" s="24">
        <v>0</v>
      </c>
      <c r="D81" s="25">
        <f t="shared" si="41"/>
        <v>0</v>
      </c>
      <c r="E81" s="52">
        <f t="shared" si="42"/>
        <v>0</v>
      </c>
      <c r="F81" s="52"/>
      <c r="G81" s="10">
        <v>1.2999999999999999E-2</v>
      </c>
      <c r="I81" s="26">
        <f t="shared" si="40"/>
        <v>0</v>
      </c>
      <c r="J81" s="14">
        <f t="shared" si="43"/>
        <v>0</v>
      </c>
      <c r="K81" s="44"/>
      <c r="L81" s="14">
        <f t="shared" si="44"/>
        <v>0</v>
      </c>
      <c r="M81" s="44"/>
      <c r="N81" s="38"/>
    </row>
    <row r="82" spans="1:14" x14ac:dyDescent="0.15">
      <c r="A82" s="28"/>
      <c r="B82" s="28"/>
      <c r="C82" s="29"/>
      <c r="D82" s="30"/>
      <c r="E82" s="30"/>
      <c r="F82" s="30"/>
      <c r="G82" s="31"/>
      <c r="I82" s="32"/>
      <c r="J82" s="32"/>
      <c r="K82" s="32"/>
      <c r="L82" s="32"/>
      <c r="M82" s="33"/>
      <c r="N82" s="34"/>
    </row>
    <row r="83" spans="1:14" x14ac:dyDescent="0.15">
      <c r="A83" s="11" t="s">
        <v>7</v>
      </c>
      <c r="B83" s="5" t="s">
        <v>16</v>
      </c>
      <c r="C83" s="11"/>
      <c r="D83" s="12" t="s">
        <v>25</v>
      </c>
      <c r="E83" s="51" t="str">
        <f>$N$5</f>
        <v>psi</v>
      </c>
      <c r="F83" s="51"/>
      <c r="G83" s="4"/>
      <c r="I83" s="18" t="s">
        <v>7</v>
      </c>
      <c r="J83" s="13" t="str">
        <f>B83</f>
        <v>CH10</v>
      </c>
      <c r="K83" s="6"/>
      <c r="L83" s="12"/>
      <c r="M83" s="5"/>
      <c r="N83" s="13"/>
    </row>
    <row r="84" spans="1:14" ht="15" customHeight="1" x14ac:dyDescent="0.15">
      <c r="A84" s="54" t="s">
        <v>28</v>
      </c>
      <c r="B84" s="54" t="s">
        <v>29</v>
      </c>
      <c r="C84" s="56"/>
      <c r="D84" s="57" t="s">
        <v>27</v>
      </c>
      <c r="E84" s="59" t="s">
        <v>26</v>
      </c>
      <c r="F84" s="60"/>
      <c r="G84" s="49" t="s">
        <v>3</v>
      </c>
      <c r="I84" s="36" t="s">
        <v>28</v>
      </c>
      <c r="J84" s="45" t="s">
        <v>35</v>
      </c>
      <c r="K84" s="47" t="s">
        <v>31</v>
      </c>
      <c r="L84" s="41" t="s">
        <v>36</v>
      </c>
      <c r="M84" s="38" t="s">
        <v>31</v>
      </c>
      <c r="N84" s="37" t="s">
        <v>37</v>
      </c>
    </row>
    <row r="85" spans="1:14" x14ac:dyDescent="0.15">
      <c r="A85" s="55"/>
      <c r="B85" s="8" t="s">
        <v>4</v>
      </c>
      <c r="C85" s="9" t="s">
        <v>5</v>
      </c>
      <c r="D85" s="58"/>
      <c r="E85" s="61"/>
      <c r="F85" s="62"/>
      <c r="G85" s="50"/>
      <c r="I85" s="35" t="str">
        <f>"（"&amp;$N$5&amp;"）"</f>
        <v>（psi）</v>
      </c>
      <c r="J85" s="46"/>
      <c r="K85" s="47"/>
      <c r="L85" s="41"/>
      <c r="M85" s="38"/>
      <c r="N85" s="38"/>
    </row>
    <row r="86" spans="1:14" x14ac:dyDescent="0.15">
      <c r="A86" s="23">
        <v>0</v>
      </c>
      <c r="B86" s="23">
        <v>0</v>
      </c>
      <c r="C86" s="24">
        <v>0</v>
      </c>
      <c r="D86" s="25">
        <f>IF(ABS(B86-A86)&gt;ABS(C86-A86),B86-A86,C86-A86)</f>
        <v>0</v>
      </c>
      <c r="E86" s="52">
        <f>ABS(B86-C86)</f>
        <v>0</v>
      </c>
      <c r="F86" s="52"/>
      <c r="G86" s="10">
        <v>1.2999999999999999E-2</v>
      </c>
      <c r="I86" s="26">
        <f t="shared" ref="I86:I89" si="45">A86</f>
        <v>0</v>
      </c>
      <c r="J86" s="14">
        <f>ABS(D86)/($N$6-$L$6)</f>
        <v>0</v>
      </c>
      <c r="K86" s="42">
        <f>MAX(J86:J89)</f>
        <v>0</v>
      </c>
      <c r="L86" s="14">
        <f>ABS(E86)/($N$6-$L$6)</f>
        <v>0</v>
      </c>
      <c r="M86" s="42">
        <f>MAX(L86:L89)</f>
        <v>0</v>
      </c>
      <c r="N86" s="38"/>
    </row>
    <row r="87" spans="1:14" x14ac:dyDescent="0.15">
      <c r="A87" s="23">
        <v>0</v>
      </c>
      <c r="B87" s="23">
        <v>0</v>
      </c>
      <c r="C87" s="24">
        <v>0</v>
      </c>
      <c r="D87" s="25">
        <f t="shared" ref="D87:D89" si="46">IF(ABS(B87-A87)&gt;ABS(C87-A87),B87-A87,C87-A87)</f>
        <v>0</v>
      </c>
      <c r="E87" s="52">
        <f t="shared" ref="E87:E89" si="47">ABS(B87-C87)</f>
        <v>0</v>
      </c>
      <c r="F87" s="52"/>
      <c r="G87" s="10">
        <v>1.2999999999999999E-2</v>
      </c>
      <c r="I87" s="26">
        <f t="shared" si="45"/>
        <v>0</v>
      </c>
      <c r="J87" s="14">
        <f t="shared" ref="J87:J89" si="48">ABS(D87)/($N$6-$L$6)</f>
        <v>0</v>
      </c>
      <c r="K87" s="43"/>
      <c r="L87" s="14">
        <f t="shared" ref="L87:L89" si="49">ABS(E87)/($N$6-$L$6)</f>
        <v>0</v>
      </c>
      <c r="M87" s="43"/>
      <c r="N87" s="38"/>
    </row>
    <row r="88" spans="1:14" x14ac:dyDescent="0.15">
      <c r="A88" s="23">
        <v>0</v>
      </c>
      <c r="B88" s="23">
        <v>0</v>
      </c>
      <c r="C88" s="24">
        <v>0</v>
      </c>
      <c r="D88" s="25">
        <f t="shared" si="46"/>
        <v>0</v>
      </c>
      <c r="E88" s="52">
        <f t="shared" si="47"/>
        <v>0</v>
      </c>
      <c r="F88" s="52"/>
      <c r="G88" s="10">
        <v>1.2999999999999999E-2</v>
      </c>
      <c r="I88" s="26">
        <f t="shared" si="45"/>
        <v>0</v>
      </c>
      <c r="J88" s="14">
        <f t="shared" si="48"/>
        <v>0</v>
      </c>
      <c r="K88" s="43"/>
      <c r="L88" s="14">
        <f t="shared" si="49"/>
        <v>0</v>
      </c>
      <c r="M88" s="43"/>
      <c r="N88" s="38"/>
    </row>
    <row r="89" spans="1:14" x14ac:dyDescent="0.15">
      <c r="A89" s="23">
        <v>0</v>
      </c>
      <c r="B89" s="23">
        <v>0</v>
      </c>
      <c r="C89" s="24">
        <v>0</v>
      </c>
      <c r="D89" s="25">
        <f t="shared" si="46"/>
        <v>0</v>
      </c>
      <c r="E89" s="52">
        <f t="shared" si="47"/>
        <v>0</v>
      </c>
      <c r="F89" s="52"/>
      <c r="G89" s="10">
        <v>1.2999999999999999E-2</v>
      </c>
      <c r="I89" s="26">
        <f t="shared" si="45"/>
        <v>0</v>
      </c>
      <c r="J89" s="14">
        <f t="shared" si="48"/>
        <v>0</v>
      </c>
      <c r="K89" s="44"/>
      <c r="L89" s="14">
        <f t="shared" si="49"/>
        <v>0</v>
      </c>
      <c r="M89" s="44"/>
      <c r="N89" s="38"/>
    </row>
    <row r="90" spans="1:14" x14ac:dyDescent="0.15">
      <c r="A90" s="28"/>
      <c r="B90" s="28"/>
      <c r="C90" s="29"/>
      <c r="D90" s="30"/>
      <c r="E90" s="30"/>
      <c r="F90" s="30"/>
      <c r="G90" s="31"/>
      <c r="I90" s="32"/>
      <c r="J90" s="32"/>
      <c r="K90" s="32"/>
      <c r="L90" s="32"/>
      <c r="M90" s="33"/>
      <c r="N90" s="34"/>
    </row>
    <row r="91" spans="1:14" x14ac:dyDescent="0.15">
      <c r="A91" s="28"/>
      <c r="B91" s="28"/>
      <c r="C91" s="29"/>
      <c r="D91" s="30"/>
      <c r="E91" s="30"/>
      <c r="F91" s="30"/>
      <c r="G91" s="31"/>
      <c r="I91" s="32"/>
      <c r="J91" s="33"/>
      <c r="K91" s="33"/>
      <c r="L91" s="33"/>
      <c r="M91" s="33"/>
      <c r="N91" s="34"/>
    </row>
    <row r="92" spans="1:14" x14ac:dyDescent="0.15">
      <c r="A92" s="28"/>
      <c r="B92" s="28"/>
      <c r="C92" s="29"/>
      <c r="D92" s="30"/>
      <c r="E92" s="30"/>
      <c r="F92" s="30"/>
      <c r="G92" s="31"/>
      <c r="I92" s="32"/>
      <c r="J92" s="33"/>
      <c r="K92" s="33"/>
      <c r="L92" s="33"/>
      <c r="M92" s="33"/>
      <c r="N92" s="34"/>
    </row>
    <row r="93" spans="1:14" x14ac:dyDescent="0.15">
      <c r="A93" s="28"/>
      <c r="B93" s="28"/>
      <c r="C93" s="29"/>
      <c r="D93" s="30"/>
      <c r="E93" s="30"/>
      <c r="F93" s="30"/>
      <c r="G93" s="31"/>
      <c r="I93" s="32"/>
      <c r="J93" s="33"/>
      <c r="K93" s="33"/>
      <c r="L93" s="33"/>
      <c r="M93" s="33"/>
      <c r="N93" s="34"/>
    </row>
    <row r="94" spans="1:14" x14ac:dyDescent="0.15">
      <c r="A94" s="28"/>
      <c r="B94" s="28"/>
      <c r="C94" s="29"/>
      <c r="D94" s="30"/>
      <c r="E94" s="30"/>
      <c r="F94" s="30"/>
      <c r="G94" s="31"/>
      <c r="I94" s="32"/>
      <c r="J94" s="33"/>
      <c r="K94" s="33"/>
      <c r="L94" s="33"/>
      <c r="M94" s="33"/>
      <c r="N94" s="34"/>
    </row>
    <row r="95" spans="1:14" x14ac:dyDescent="0.15">
      <c r="A95" s="11" t="s">
        <v>7</v>
      </c>
      <c r="B95" s="5" t="s">
        <v>17</v>
      </c>
      <c r="C95" s="11"/>
      <c r="D95" s="12" t="s">
        <v>25</v>
      </c>
      <c r="E95" s="51" t="str">
        <f>$N$5</f>
        <v>psi</v>
      </c>
      <c r="F95" s="51"/>
      <c r="G95" s="4"/>
      <c r="I95" s="18" t="s">
        <v>7</v>
      </c>
      <c r="J95" s="13" t="str">
        <f>B95</f>
        <v>CH11</v>
      </c>
      <c r="K95" s="6"/>
      <c r="L95" s="12"/>
      <c r="M95" s="5"/>
      <c r="N95" s="13"/>
    </row>
    <row r="96" spans="1:14" ht="15" customHeight="1" x14ac:dyDescent="0.15">
      <c r="A96" s="54" t="s">
        <v>28</v>
      </c>
      <c r="B96" s="54" t="s">
        <v>29</v>
      </c>
      <c r="C96" s="56"/>
      <c r="D96" s="57" t="s">
        <v>27</v>
      </c>
      <c r="E96" s="59" t="s">
        <v>26</v>
      </c>
      <c r="F96" s="60"/>
      <c r="G96" s="49" t="s">
        <v>3</v>
      </c>
      <c r="I96" s="36" t="s">
        <v>28</v>
      </c>
      <c r="J96" s="45" t="s">
        <v>35</v>
      </c>
      <c r="K96" s="47" t="s">
        <v>31</v>
      </c>
      <c r="L96" s="41" t="s">
        <v>36</v>
      </c>
      <c r="M96" s="38" t="s">
        <v>31</v>
      </c>
      <c r="N96" s="37" t="s">
        <v>37</v>
      </c>
    </row>
    <row r="97" spans="1:14" x14ac:dyDescent="0.15">
      <c r="A97" s="55"/>
      <c r="B97" s="8" t="s">
        <v>4</v>
      </c>
      <c r="C97" s="9" t="s">
        <v>5</v>
      </c>
      <c r="D97" s="58"/>
      <c r="E97" s="61"/>
      <c r="F97" s="62"/>
      <c r="G97" s="50"/>
      <c r="I97" s="35" t="str">
        <f>"（"&amp;$N$5&amp;"）"</f>
        <v>（psi）</v>
      </c>
      <c r="J97" s="46"/>
      <c r="K97" s="47"/>
      <c r="L97" s="41"/>
      <c r="M97" s="38"/>
      <c r="N97" s="38"/>
    </row>
    <row r="98" spans="1:14" x14ac:dyDescent="0.15">
      <c r="A98" s="23">
        <v>0</v>
      </c>
      <c r="B98" s="23">
        <v>0</v>
      </c>
      <c r="C98" s="24">
        <v>0</v>
      </c>
      <c r="D98" s="25">
        <f>IF(ABS(B98-A98)&gt;ABS(C98-A98),B98-A98,C98-A98)</f>
        <v>0</v>
      </c>
      <c r="E98" s="52">
        <f>ABS(B98-C98)</f>
        <v>0</v>
      </c>
      <c r="F98" s="52"/>
      <c r="G98" s="10">
        <v>1.2999999999999999E-2</v>
      </c>
      <c r="I98" s="26">
        <f t="shared" ref="I98:I101" si="50">A98</f>
        <v>0</v>
      </c>
      <c r="J98" s="14">
        <f>ABS(D98)/($N$6-$L$6)</f>
        <v>0</v>
      </c>
      <c r="K98" s="42">
        <f>MAX(J98:J101)</f>
        <v>0</v>
      </c>
      <c r="L98" s="14">
        <f>ABS(E98)/($N$6-$L$6)</f>
        <v>0</v>
      </c>
      <c r="M98" s="42">
        <f>MAX(L98:L101)</f>
        <v>0</v>
      </c>
      <c r="N98" s="38"/>
    </row>
    <row r="99" spans="1:14" x14ac:dyDescent="0.15">
      <c r="A99" s="23">
        <v>0</v>
      </c>
      <c r="B99" s="23">
        <v>0</v>
      </c>
      <c r="C99" s="24">
        <v>0</v>
      </c>
      <c r="D99" s="25">
        <f t="shared" ref="D99:D101" si="51">IF(ABS(B99-A99)&gt;ABS(C99-A99),B99-A99,C99-A99)</f>
        <v>0</v>
      </c>
      <c r="E99" s="52">
        <f t="shared" ref="E99:E101" si="52">ABS(B99-C99)</f>
        <v>0</v>
      </c>
      <c r="F99" s="52"/>
      <c r="G99" s="10">
        <v>1.2999999999999999E-2</v>
      </c>
      <c r="I99" s="26">
        <f t="shared" si="50"/>
        <v>0</v>
      </c>
      <c r="J99" s="14">
        <f t="shared" ref="J99:J101" si="53">ABS(D99)/($N$6-$L$6)</f>
        <v>0</v>
      </c>
      <c r="K99" s="43"/>
      <c r="L99" s="14">
        <f t="shared" ref="L99:L101" si="54">ABS(E99)/($N$6-$L$6)</f>
        <v>0</v>
      </c>
      <c r="M99" s="43"/>
      <c r="N99" s="38"/>
    </row>
    <row r="100" spans="1:14" x14ac:dyDescent="0.15">
      <c r="A100" s="23">
        <v>0</v>
      </c>
      <c r="B100" s="23">
        <v>0</v>
      </c>
      <c r="C100" s="24">
        <v>0</v>
      </c>
      <c r="D100" s="25">
        <f t="shared" si="51"/>
        <v>0</v>
      </c>
      <c r="E100" s="52">
        <f t="shared" si="52"/>
        <v>0</v>
      </c>
      <c r="F100" s="52"/>
      <c r="G100" s="10">
        <v>1.2999999999999999E-2</v>
      </c>
      <c r="I100" s="26">
        <f t="shared" si="50"/>
        <v>0</v>
      </c>
      <c r="J100" s="14">
        <f t="shared" si="53"/>
        <v>0</v>
      </c>
      <c r="K100" s="43"/>
      <c r="L100" s="14">
        <f t="shared" si="54"/>
        <v>0</v>
      </c>
      <c r="M100" s="43"/>
      <c r="N100" s="38"/>
    </row>
    <row r="101" spans="1:14" x14ac:dyDescent="0.15">
      <c r="A101" s="23">
        <v>0</v>
      </c>
      <c r="B101" s="23">
        <v>0</v>
      </c>
      <c r="C101" s="24">
        <v>0</v>
      </c>
      <c r="D101" s="25">
        <f t="shared" si="51"/>
        <v>0</v>
      </c>
      <c r="E101" s="52">
        <f t="shared" si="52"/>
        <v>0</v>
      </c>
      <c r="F101" s="52"/>
      <c r="G101" s="10">
        <v>1.2999999999999999E-2</v>
      </c>
      <c r="I101" s="26">
        <f t="shared" si="50"/>
        <v>0</v>
      </c>
      <c r="J101" s="14">
        <f t="shared" si="53"/>
        <v>0</v>
      </c>
      <c r="K101" s="44"/>
      <c r="L101" s="14">
        <f t="shared" si="54"/>
        <v>0</v>
      </c>
      <c r="M101" s="44"/>
      <c r="N101" s="38"/>
    </row>
    <row r="102" spans="1:14" x14ac:dyDescent="0.15">
      <c r="A102" s="28"/>
      <c r="B102" s="28"/>
      <c r="C102" s="29"/>
      <c r="D102" s="30"/>
      <c r="E102" s="30"/>
      <c r="F102" s="30"/>
      <c r="G102" s="31"/>
      <c r="I102" s="32"/>
      <c r="J102" s="32"/>
      <c r="K102" s="32"/>
      <c r="L102" s="32"/>
      <c r="M102" s="33"/>
      <c r="N102" s="34"/>
    </row>
    <row r="103" spans="1:14" x14ac:dyDescent="0.15">
      <c r="A103" s="11" t="s">
        <v>7</v>
      </c>
      <c r="B103" s="5" t="s">
        <v>18</v>
      </c>
      <c r="C103" s="11"/>
      <c r="D103" s="12" t="s">
        <v>25</v>
      </c>
      <c r="E103" s="51" t="str">
        <f>$N$5</f>
        <v>psi</v>
      </c>
      <c r="F103" s="51"/>
      <c r="G103" s="4"/>
      <c r="I103" s="18" t="s">
        <v>7</v>
      </c>
      <c r="J103" s="13" t="str">
        <f>B103</f>
        <v>CH12</v>
      </c>
      <c r="K103" s="6"/>
      <c r="L103" s="12"/>
      <c r="M103" s="5"/>
      <c r="N103" s="13"/>
    </row>
    <row r="104" spans="1:14" ht="15" customHeight="1" x14ac:dyDescent="0.15">
      <c r="A104" s="54" t="s">
        <v>28</v>
      </c>
      <c r="B104" s="54" t="s">
        <v>29</v>
      </c>
      <c r="C104" s="56"/>
      <c r="D104" s="57" t="s">
        <v>27</v>
      </c>
      <c r="E104" s="59" t="s">
        <v>26</v>
      </c>
      <c r="F104" s="60"/>
      <c r="G104" s="49" t="s">
        <v>3</v>
      </c>
      <c r="I104" s="36" t="s">
        <v>28</v>
      </c>
      <c r="J104" s="45" t="s">
        <v>35</v>
      </c>
      <c r="K104" s="47" t="s">
        <v>31</v>
      </c>
      <c r="L104" s="41" t="s">
        <v>36</v>
      </c>
      <c r="M104" s="38" t="s">
        <v>31</v>
      </c>
      <c r="N104" s="37" t="s">
        <v>37</v>
      </c>
    </row>
    <row r="105" spans="1:14" x14ac:dyDescent="0.15">
      <c r="A105" s="55"/>
      <c r="B105" s="8" t="s">
        <v>4</v>
      </c>
      <c r="C105" s="9" t="s">
        <v>5</v>
      </c>
      <c r="D105" s="58"/>
      <c r="E105" s="61"/>
      <c r="F105" s="62"/>
      <c r="G105" s="50"/>
      <c r="I105" s="35" t="str">
        <f>"（"&amp;$N$5&amp;"）"</f>
        <v>（psi）</v>
      </c>
      <c r="J105" s="46"/>
      <c r="K105" s="47"/>
      <c r="L105" s="41"/>
      <c r="M105" s="38"/>
      <c r="N105" s="38"/>
    </row>
    <row r="106" spans="1:14" x14ac:dyDescent="0.15">
      <c r="A106" s="23">
        <v>0</v>
      </c>
      <c r="B106" s="23">
        <v>0</v>
      </c>
      <c r="C106" s="24">
        <v>0</v>
      </c>
      <c r="D106" s="25">
        <f>IF(ABS(B106-A106)&gt;ABS(C106-A106),B106-A106,C106-A106)</f>
        <v>0</v>
      </c>
      <c r="E106" s="52">
        <f>ABS(B106-C106)</f>
        <v>0</v>
      </c>
      <c r="F106" s="52"/>
      <c r="G106" s="10">
        <v>1.2999999999999999E-2</v>
      </c>
      <c r="I106" s="26">
        <f t="shared" ref="I106:I109" si="55">A106</f>
        <v>0</v>
      </c>
      <c r="J106" s="14">
        <f>ABS(D106)/($N$6-$L$6)</f>
        <v>0</v>
      </c>
      <c r="K106" s="42">
        <f>MAX(J106:J109)</f>
        <v>0</v>
      </c>
      <c r="L106" s="14">
        <f>ABS(E106)/($N$6-$L$6)</f>
        <v>0</v>
      </c>
      <c r="M106" s="42">
        <f>MAX(L106:L109)</f>
        <v>0</v>
      </c>
      <c r="N106" s="38"/>
    </row>
    <row r="107" spans="1:14" x14ac:dyDescent="0.15">
      <c r="A107" s="23">
        <v>0</v>
      </c>
      <c r="B107" s="23">
        <v>0</v>
      </c>
      <c r="C107" s="24">
        <v>0</v>
      </c>
      <c r="D107" s="25">
        <f t="shared" ref="D107:D109" si="56">IF(ABS(B107-A107)&gt;ABS(C107-A107),B107-A107,C107-A107)</f>
        <v>0</v>
      </c>
      <c r="E107" s="52">
        <f t="shared" ref="E107:E109" si="57">ABS(B107-C107)</f>
        <v>0</v>
      </c>
      <c r="F107" s="52"/>
      <c r="G107" s="10">
        <v>1.2999999999999999E-2</v>
      </c>
      <c r="I107" s="26">
        <f t="shared" si="55"/>
        <v>0</v>
      </c>
      <c r="J107" s="14">
        <f t="shared" ref="J107:J109" si="58">ABS(D107)/($N$6-$L$6)</f>
        <v>0</v>
      </c>
      <c r="K107" s="43"/>
      <c r="L107" s="14">
        <f t="shared" ref="L107:L109" si="59">ABS(E107)/($N$6-$L$6)</f>
        <v>0</v>
      </c>
      <c r="M107" s="43"/>
      <c r="N107" s="38"/>
    </row>
    <row r="108" spans="1:14" x14ac:dyDescent="0.15">
      <c r="A108" s="23">
        <v>0</v>
      </c>
      <c r="B108" s="23">
        <v>0</v>
      </c>
      <c r="C108" s="24">
        <v>0</v>
      </c>
      <c r="D108" s="25">
        <f t="shared" si="56"/>
        <v>0</v>
      </c>
      <c r="E108" s="52">
        <f t="shared" si="57"/>
        <v>0</v>
      </c>
      <c r="F108" s="52"/>
      <c r="G108" s="10">
        <v>1.2999999999999999E-2</v>
      </c>
      <c r="I108" s="26">
        <f t="shared" si="55"/>
        <v>0</v>
      </c>
      <c r="J108" s="14">
        <f t="shared" si="58"/>
        <v>0</v>
      </c>
      <c r="K108" s="43"/>
      <c r="L108" s="14">
        <f t="shared" si="59"/>
        <v>0</v>
      </c>
      <c r="M108" s="43"/>
      <c r="N108" s="38"/>
    </row>
    <row r="109" spans="1:14" x14ac:dyDescent="0.15">
      <c r="A109" s="23">
        <v>0</v>
      </c>
      <c r="B109" s="23">
        <v>0</v>
      </c>
      <c r="C109" s="24">
        <v>0</v>
      </c>
      <c r="D109" s="25">
        <f t="shared" si="56"/>
        <v>0</v>
      </c>
      <c r="E109" s="52">
        <f t="shared" si="57"/>
        <v>0</v>
      </c>
      <c r="F109" s="52"/>
      <c r="G109" s="10">
        <v>1.2999999999999999E-2</v>
      </c>
      <c r="I109" s="26">
        <f t="shared" si="55"/>
        <v>0</v>
      </c>
      <c r="J109" s="14">
        <f t="shared" si="58"/>
        <v>0</v>
      </c>
      <c r="K109" s="44"/>
      <c r="L109" s="14">
        <f t="shared" si="59"/>
        <v>0</v>
      </c>
      <c r="M109" s="44"/>
      <c r="N109" s="38"/>
    </row>
    <row r="110" spans="1:14" x14ac:dyDescent="0.15">
      <c r="A110" s="28"/>
      <c r="B110" s="28"/>
      <c r="C110" s="29"/>
      <c r="D110" s="30"/>
      <c r="E110" s="30"/>
      <c r="F110" s="30"/>
      <c r="G110" s="31"/>
      <c r="I110" s="32"/>
      <c r="J110" s="32"/>
      <c r="K110" s="32"/>
      <c r="L110" s="32"/>
      <c r="M110" s="33"/>
      <c r="N110" s="34"/>
    </row>
    <row r="111" spans="1:14" x14ac:dyDescent="0.15">
      <c r="A111" s="11" t="s">
        <v>7</v>
      </c>
      <c r="B111" s="5" t="s">
        <v>19</v>
      </c>
      <c r="C111" s="11"/>
      <c r="D111" s="12" t="s">
        <v>25</v>
      </c>
      <c r="E111" s="51" t="str">
        <f>$N$5</f>
        <v>psi</v>
      </c>
      <c r="F111" s="51"/>
      <c r="G111" s="4"/>
      <c r="I111" s="18" t="s">
        <v>7</v>
      </c>
      <c r="J111" s="13" t="str">
        <f>B111</f>
        <v>CH13</v>
      </c>
      <c r="K111" s="6"/>
      <c r="L111" s="12"/>
      <c r="M111" s="5"/>
      <c r="N111" s="13"/>
    </row>
    <row r="112" spans="1:14" ht="15" customHeight="1" x14ac:dyDescent="0.15">
      <c r="A112" s="54" t="s">
        <v>28</v>
      </c>
      <c r="B112" s="54" t="s">
        <v>29</v>
      </c>
      <c r="C112" s="56"/>
      <c r="D112" s="57" t="s">
        <v>27</v>
      </c>
      <c r="E112" s="59" t="s">
        <v>26</v>
      </c>
      <c r="F112" s="60"/>
      <c r="G112" s="49" t="s">
        <v>3</v>
      </c>
      <c r="I112" s="36" t="s">
        <v>28</v>
      </c>
      <c r="J112" s="45" t="s">
        <v>35</v>
      </c>
      <c r="K112" s="47" t="s">
        <v>31</v>
      </c>
      <c r="L112" s="41" t="s">
        <v>36</v>
      </c>
      <c r="M112" s="38" t="s">
        <v>31</v>
      </c>
      <c r="N112" s="37" t="s">
        <v>37</v>
      </c>
    </row>
    <row r="113" spans="1:14" x14ac:dyDescent="0.15">
      <c r="A113" s="55"/>
      <c r="B113" s="8" t="s">
        <v>4</v>
      </c>
      <c r="C113" s="9" t="s">
        <v>5</v>
      </c>
      <c r="D113" s="58"/>
      <c r="E113" s="61"/>
      <c r="F113" s="62"/>
      <c r="G113" s="50"/>
      <c r="I113" s="35" t="str">
        <f>"（"&amp;$N$5&amp;"）"</f>
        <v>（psi）</v>
      </c>
      <c r="J113" s="46"/>
      <c r="K113" s="47"/>
      <c r="L113" s="41"/>
      <c r="M113" s="38"/>
      <c r="N113" s="38"/>
    </row>
    <row r="114" spans="1:14" x14ac:dyDescent="0.15">
      <c r="A114" s="23">
        <v>0</v>
      </c>
      <c r="B114" s="23">
        <v>0</v>
      </c>
      <c r="C114" s="24">
        <v>0</v>
      </c>
      <c r="D114" s="25">
        <f>IF(ABS(B114-A114)&gt;ABS(C114-A114),B114-A114,C114-A114)</f>
        <v>0</v>
      </c>
      <c r="E114" s="52">
        <f>ABS(B114-C114)</f>
        <v>0</v>
      </c>
      <c r="F114" s="52"/>
      <c r="G114" s="10">
        <v>1.2999999999999999E-2</v>
      </c>
      <c r="I114" s="26">
        <f t="shared" ref="I114:I117" si="60">A114</f>
        <v>0</v>
      </c>
      <c r="J114" s="14">
        <f>ABS(D114)/($N$6-$L$6)</f>
        <v>0</v>
      </c>
      <c r="K114" s="42">
        <f>MAX(J114:J117)</f>
        <v>0</v>
      </c>
      <c r="L114" s="14">
        <f>ABS(E114)/($N$6-$L$6)</f>
        <v>0</v>
      </c>
      <c r="M114" s="42">
        <f>MAX(L114:L117)</f>
        <v>0</v>
      </c>
      <c r="N114" s="38"/>
    </row>
    <row r="115" spans="1:14" x14ac:dyDescent="0.15">
      <c r="A115" s="23">
        <v>0</v>
      </c>
      <c r="B115" s="23">
        <v>0</v>
      </c>
      <c r="C115" s="24">
        <v>0</v>
      </c>
      <c r="D115" s="25">
        <f t="shared" ref="D115:D117" si="61">IF(ABS(B115-A115)&gt;ABS(C115-A115),B115-A115,C115-A115)</f>
        <v>0</v>
      </c>
      <c r="E115" s="52">
        <f t="shared" ref="E115:E117" si="62">ABS(B115-C115)</f>
        <v>0</v>
      </c>
      <c r="F115" s="52"/>
      <c r="G115" s="10">
        <v>1.2999999999999999E-2</v>
      </c>
      <c r="I115" s="26">
        <f t="shared" si="60"/>
        <v>0</v>
      </c>
      <c r="J115" s="14">
        <f t="shared" ref="J115:J117" si="63">ABS(D115)/($N$6-$L$6)</f>
        <v>0</v>
      </c>
      <c r="K115" s="43"/>
      <c r="L115" s="14">
        <f t="shared" ref="L115:L117" si="64">ABS(E115)/($N$6-$L$6)</f>
        <v>0</v>
      </c>
      <c r="M115" s="43"/>
      <c r="N115" s="38"/>
    </row>
    <row r="116" spans="1:14" x14ac:dyDescent="0.15">
      <c r="A116" s="23">
        <v>0</v>
      </c>
      <c r="B116" s="23">
        <v>0</v>
      </c>
      <c r="C116" s="24">
        <v>0</v>
      </c>
      <c r="D116" s="25">
        <f t="shared" si="61"/>
        <v>0</v>
      </c>
      <c r="E116" s="52">
        <f t="shared" si="62"/>
        <v>0</v>
      </c>
      <c r="F116" s="52"/>
      <c r="G116" s="10">
        <v>1.2999999999999999E-2</v>
      </c>
      <c r="I116" s="26">
        <f t="shared" si="60"/>
        <v>0</v>
      </c>
      <c r="J116" s="14">
        <f t="shared" si="63"/>
        <v>0</v>
      </c>
      <c r="K116" s="43"/>
      <c r="L116" s="14">
        <f t="shared" si="64"/>
        <v>0</v>
      </c>
      <c r="M116" s="43"/>
      <c r="N116" s="38"/>
    </row>
    <row r="117" spans="1:14" x14ac:dyDescent="0.15">
      <c r="A117" s="23">
        <v>0</v>
      </c>
      <c r="B117" s="23">
        <v>0</v>
      </c>
      <c r="C117" s="24">
        <v>0</v>
      </c>
      <c r="D117" s="25">
        <f t="shared" si="61"/>
        <v>0</v>
      </c>
      <c r="E117" s="52">
        <f t="shared" si="62"/>
        <v>0</v>
      </c>
      <c r="F117" s="52"/>
      <c r="G117" s="10">
        <v>1.2999999999999999E-2</v>
      </c>
      <c r="I117" s="26">
        <f t="shared" si="60"/>
        <v>0</v>
      </c>
      <c r="J117" s="14">
        <f t="shared" si="63"/>
        <v>0</v>
      </c>
      <c r="K117" s="44"/>
      <c r="L117" s="14">
        <f t="shared" si="64"/>
        <v>0</v>
      </c>
      <c r="M117" s="44"/>
      <c r="N117" s="38"/>
    </row>
    <row r="118" spans="1:14" x14ac:dyDescent="0.15">
      <c r="A118" s="28"/>
      <c r="B118" s="28"/>
      <c r="C118" s="29"/>
      <c r="D118" s="30"/>
      <c r="E118" s="30"/>
      <c r="F118" s="30"/>
      <c r="G118" s="31"/>
      <c r="I118" s="32"/>
      <c r="J118" s="32"/>
      <c r="K118" s="32"/>
      <c r="L118" s="32"/>
      <c r="M118" s="33"/>
      <c r="N118" s="34"/>
    </row>
    <row r="119" spans="1:14" x14ac:dyDescent="0.15">
      <c r="A119" s="11" t="s">
        <v>7</v>
      </c>
      <c r="B119" s="5" t="s">
        <v>20</v>
      </c>
      <c r="C119" s="11"/>
      <c r="D119" s="12" t="s">
        <v>25</v>
      </c>
      <c r="E119" s="51" t="str">
        <f>$N$5</f>
        <v>psi</v>
      </c>
      <c r="F119" s="51"/>
      <c r="G119" s="4"/>
      <c r="I119" s="18" t="s">
        <v>7</v>
      </c>
      <c r="J119" s="13" t="str">
        <f>B119</f>
        <v>CH14</v>
      </c>
      <c r="K119" s="6"/>
      <c r="L119" s="12"/>
      <c r="M119" s="5"/>
      <c r="N119" s="13"/>
    </row>
    <row r="120" spans="1:14" ht="15" customHeight="1" x14ac:dyDescent="0.15">
      <c r="A120" s="54" t="s">
        <v>28</v>
      </c>
      <c r="B120" s="54" t="s">
        <v>29</v>
      </c>
      <c r="C120" s="56"/>
      <c r="D120" s="57" t="s">
        <v>27</v>
      </c>
      <c r="E120" s="59" t="s">
        <v>26</v>
      </c>
      <c r="F120" s="60"/>
      <c r="G120" s="49" t="s">
        <v>3</v>
      </c>
      <c r="I120" s="36" t="s">
        <v>28</v>
      </c>
      <c r="J120" s="45" t="s">
        <v>35</v>
      </c>
      <c r="K120" s="47" t="s">
        <v>31</v>
      </c>
      <c r="L120" s="41" t="s">
        <v>36</v>
      </c>
      <c r="M120" s="38" t="s">
        <v>31</v>
      </c>
      <c r="N120" s="37" t="s">
        <v>37</v>
      </c>
    </row>
    <row r="121" spans="1:14" x14ac:dyDescent="0.15">
      <c r="A121" s="55"/>
      <c r="B121" s="8" t="s">
        <v>4</v>
      </c>
      <c r="C121" s="9" t="s">
        <v>5</v>
      </c>
      <c r="D121" s="58"/>
      <c r="E121" s="61"/>
      <c r="F121" s="62"/>
      <c r="G121" s="50"/>
      <c r="I121" s="35" t="str">
        <f>"（"&amp;$N$5&amp;"）"</f>
        <v>（psi）</v>
      </c>
      <c r="J121" s="46"/>
      <c r="K121" s="47"/>
      <c r="L121" s="41"/>
      <c r="M121" s="38"/>
      <c r="N121" s="38"/>
    </row>
    <row r="122" spans="1:14" x14ac:dyDescent="0.15">
      <c r="A122" s="23">
        <v>0</v>
      </c>
      <c r="B122" s="23">
        <v>0</v>
      </c>
      <c r="C122" s="24">
        <v>0</v>
      </c>
      <c r="D122" s="25">
        <f>IF(ABS(B122-A122)&gt;ABS(C122-A122),B122-A122,C122-A122)</f>
        <v>0</v>
      </c>
      <c r="E122" s="52">
        <f>ABS(B122-C122)</f>
        <v>0</v>
      </c>
      <c r="F122" s="52"/>
      <c r="G122" s="10">
        <v>1.2999999999999999E-2</v>
      </c>
      <c r="I122" s="26">
        <f t="shared" ref="I122:I125" si="65">A122</f>
        <v>0</v>
      </c>
      <c r="J122" s="14">
        <f>ABS(D122)/($N$6-$L$6)</f>
        <v>0</v>
      </c>
      <c r="K122" s="42">
        <f>MAX(J122:J125)</f>
        <v>0</v>
      </c>
      <c r="L122" s="14">
        <f>ABS(E122)/($N$6-$L$6)</f>
        <v>0</v>
      </c>
      <c r="M122" s="42">
        <f>MAX(L122:L125)</f>
        <v>0</v>
      </c>
      <c r="N122" s="38"/>
    </row>
    <row r="123" spans="1:14" x14ac:dyDescent="0.15">
      <c r="A123" s="23">
        <v>0</v>
      </c>
      <c r="B123" s="23">
        <v>0</v>
      </c>
      <c r="C123" s="24">
        <v>0</v>
      </c>
      <c r="D123" s="25">
        <f t="shared" ref="D123:D125" si="66">IF(ABS(B123-A123)&gt;ABS(C123-A123),B123-A123,C123-A123)</f>
        <v>0</v>
      </c>
      <c r="E123" s="52">
        <f t="shared" ref="E123:E125" si="67">ABS(B123-C123)</f>
        <v>0</v>
      </c>
      <c r="F123" s="52"/>
      <c r="G123" s="10">
        <v>1.2999999999999999E-2</v>
      </c>
      <c r="I123" s="26">
        <f t="shared" si="65"/>
        <v>0</v>
      </c>
      <c r="J123" s="14">
        <f t="shared" ref="J123:J125" si="68">ABS(D123)/($N$6-$L$6)</f>
        <v>0</v>
      </c>
      <c r="K123" s="43"/>
      <c r="L123" s="14">
        <f t="shared" ref="L123:L125" si="69">ABS(E123)/($N$6-$L$6)</f>
        <v>0</v>
      </c>
      <c r="M123" s="43"/>
      <c r="N123" s="38"/>
    </row>
    <row r="124" spans="1:14" x14ac:dyDescent="0.15">
      <c r="A124" s="23">
        <v>0</v>
      </c>
      <c r="B124" s="23">
        <v>0</v>
      </c>
      <c r="C124" s="24">
        <v>0</v>
      </c>
      <c r="D124" s="25">
        <f t="shared" si="66"/>
        <v>0</v>
      </c>
      <c r="E124" s="52">
        <f t="shared" si="67"/>
        <v>0</v>
      </c>
      <c r="F124" s="52"/>
      <c r="G124" s="10">
        <v>1.2999999999999999E-2</v>
      </c>
      <c r="I124" s="26">
        <f t="shared" si="65"/>
        <v>0</v>
      </c>
      <c r="J124" s="14">
        <f t="shared" si="68"/>
        <v>0</v>
      </c>
      <c r="K124" s="43"/>
      <c r="L124" s="14">
        <f t="shared" si="69"/>
        <v>0</v>
      </c>
      <c r="M124" s="43"/>
      <c r="N124" s="38"/>
    </row>
    <row r="125" spans="1:14" x14ac:dyDescent="0.15">
      <c r="A125" s="23">
        <v>0</v>
      </c>
      <c r="B125" s="23">
        <v>0</v>
      </c>
      <c r="C125" s="24">
        <v>0</v>
      </c>
      <c r="D125" s="25">
        <f t="shared" si="66"/>
        <v>0</v>
      </c>
      <c r="E125" s="52">
        <f t="shared" si="67"/>
        <v>0</v>
      </c>
      <c r="F125" s="52"/>
      <c r="G125" s="10">
        <v>1.2999999999999999E-2</v>
      </c>
      <c r="I125" s="26">
        <f t="shared" si="65"/>
        <v>0</v>
      </c>
      <c r="J125" s="14">
        <f t="shared" si="68"/>
        <v>0</v>
      </c>
      <c r="K125" s="44"/>
      <c r="L125" s="14">
        <f t="shared" si="69"/>
        <v>0</v>
      </c>
      <c r="M125" s="44"/>
      <c r="N125" s="38"/>
    </row>
    <row r="126" spans="1:14" x14ac:dyDescent="0.15">
      <c r="A126" s="28"/>
      <c r="B126" s="28"/>
      <c r="C126" s="29"/>
      <c r="D126" s="30"/>
      <c r="E126" s="30"/>
      <c r="F126" s="30"/>
      <c r="G126" s="31"/>
      <c r="I126" s="32"/>
      <c r="J126" s="32"/>
      <c r="K126" s="32"/>
      <c r="L126" s="32"/>
      <c r="M126" s="33"/>
      <c r="N126" s="34"/>
    </row>
    <row r="127" spans="1:14" x14ac:dyDescent="0.15">
      <c r="A127" s="11" t="s">
        <v>7</v>
      </c>
      <c r="B127" s="5" t="s">
        <v>21</v>
      </c>
      <c r="C127" s="11"/>
      <c r="D127" s="12" t="s">
        <v>25</v>
      </c>
      <c r="E127" s="51" t="str">
        <f>$N$5</f>
        <v>psi</v>
      </c>
      <c r="F127" s="51"/>
      <c r="G127" s="4"/>
      <c r="I127" s="18" t="s">
        <v>7</v>
      </c>
      <c r="J127" s="13" t="str">
        <f>B127</f>
        <v>CH15</v>
      </c>
      <c r="K127" s="6"/>
      <c r="L127" s="12"/>
      <c r="M127" s="5"/>
      <c r="N127" s="13"/>
    </row>
    <row r="128" spans="1:14" ht="15" customHeight="1" x14ac:dyDescent="0.15">
      <c r="A128" s="54" t="s">
        <v>28</v>
      </c>
      <c r="B128" s="54" t="s">
        <v>29</v>
      </c>
      <c r="C128" s="56"/>
      <c r="D128" s="57" t="s">
        <v>27</v>
      </c>
      <c r="E128" s="59" t="s">
        <v>26</v>
      </c>
      <c r="F128" s="60"/>
      <c r="G128" s="49" t="s">
        <v>3</v>
      </c>
      <c r="I128" s="36" t="s">
        <v>28</v>
      </c>
      <c r="J128" s="45" t="s">
        <v>35</v>
      </c>
      <c r="K128" s="47" t="s">
        <v>31</v>
      </c>
      <c r="L128" s="41" t="s">
        <v>36</v>
      </c>
      <c r="M128" s="38" t="s">
        <v>31</v>
      </c>
      <c r="N128" s="37" t="s">
        <v>37</v>
      </c>
    </row>
    <row r="129" spans="1:14" x14ac:dyDescent="0.15">
      <c r="A129" s="55"/>
      <c r="B129" s="8" t="s">
        <v>4</v>
      </c>
      <c r="C129" s="9" t="s">
        <v>5</v>
      </c>
      <c r="D129" s="58"/>
      <c r="E129" s="61"/>
      <c r="F129" s="62"/>
      <c r="G129" s="50"/>
      <c r="I129" s="35" t="str">
        <f>"（"&amp;$N$5&amp;"）"</f>
        <v>（psi）</v>
      </c>
      <c r="J129" s="46"/>
      <c r="K129" s="47"/>
      <c r="L129" s="41"/>
      <c r="M129" s="38"/>
      <c r="N129" s="38"/>
    </row>
    <row r="130" spans="1:14" x14ac:dyDescent="0.15">
      <c r="A130" s="23">
        <v>0</v>
      </c>
      <c r="B130" s="23">
        <v>0</v>
      </c>
      <c r="C130" s="24">
        <v>0</v>
      </c>
      <c r="D130" s="25">
        <f>IF(ABS(B130-A130)&gt;ABS(C130-A130),B130-A130,C130-A130)</f>
        <v>0</v>
      </c>
      <c r="E130" s="52">
        <f>ABS(B130-C130)</f>
        <v>0</v>
      </c>
      <c r="F130" s="52"/>
      <c r="G130" s="10">
        <v>1.2999999999999999E-2</v>
      </c>
      <c r="I130" s="26">
        <f t="shared" ref="I130:I133" si="70">A130</f>
        <v>0</v>
      </c>
      <c r="J130" s="14">
        <f>ABS(D130)/($N$6-$L$6)</f>
        <v>0</v>
      </c>
      <c r="K130" s="42">
        <f>MAX(J130:J133)</f>
        <v>0</v>
      </c>
      <c r="L130" s="14">
        <f>ABS(E130)/($N$6-$L$6)</f>
        <v>0</v>
      </c>
      <c r="M130" s="42">
        <f>MAX(L130:L133)</f>
        <v>0</v>
      </c>
      <c r="N130" s="38"/>
    </row>
    <row r="131" spans="1:14" x14ac:dyDescent="0.15">
      <c r="A131" s="23">
        <v>0</v>
      </c>
      <c r="B131" s="23">
        <v>0</v>
      </c>
      <c r="C131" s="24">
        <v>0</v>
      </c>
      <c r="D131" s="25">
        <f t="shared" ref="D131:D133" si="71">IF(ABS(B131-A131)&gt;ABS(C131-A131),B131-A131,C131-A131)</f>
        <v>0</v>
      </c>
      <c r="E131" s="52">
        <f t="shared" ref="E131:E133" si="72">ABS(B131-C131)</f>
        <v>0</v>
      </c>
      <c r="F131" s="52"/>
      <c r="G131" s="10">
        <v>1.2999999999999999E-2</v>
      </c>
      <c r="I131" s="26">
        <f t="shared" si="70"/>
        <v>0</v>
      </c>
      <c r="J131" s="14">
        <f t="shared" ref="J131:J133" si="73">ABS(D131)/($N$6-$L$6)</f>
        <v>0</v>
      </c>
      <c r="K131" s="43"/>
      <c r="L131" s="14">
        <f t="shared" ref="L131:L133" si="74">ABS(E131)/($N$6-$L$6)</f>
        <v>0</v>
      </c>
      <c r="M131" s="43"/>
      <c r="N131" s="38"/>
    </row>
    <row r="132" spans="1:14" x14ac:dyDescent="0.15">
      <c r="A132" s="23">
        <v>0</v>
      </c>
      <c r="B132" s="23">
        <v>0</v>
      </c>
      <c r="C132" s="24">
        <v>0</v>
      </c>
      <c r="D132" s="25">
        <f t="shared" si="71"/>
        <v>0</v>
      </c>
      <c r="E132" s="52">
        <f t="shared" si="72"/>
        <v>0</v>
      </c>
      <c r="F132" s="52"/>
      <c r="G132" s="10">
        <v>1.2999999999999999E-2</v>
      </c>
      <c r="I132" s="26">
        <f t="shared" si="70"/>
        <v>0</v>
      </c>
      <c r="J132" s="14">
        <f t="shared" si="73"/>
        <v>0</v>
      </c>
      <c r="K132" s="43"/>
      <c r="L132" s="14">
        <f t="shared" si="74"/>
        <v>0</v>
      </c>
      <c r="M132" s="43"/>
      <c r="N132" s="38"/>
    </row>
    <row r="133" spans="1:14" x14ac:dyDescent="0.15">
      <c r="A133" s="23">
        <v>0</v>
      </c>
      <c r="B133" s="23">
        <v>0</v>
      </c>
      <c r="C133" s="24">
        <v>0</v>
      </c>
      <c r="D133" s="25">
        <f t="shared" si="71"/>
        <v>0</v>
      </c>
      <c r="E133" s="52">
        <f t="shared" si="72"/>
        <v>0</v>
      </c>
      <c r="F133" s="52"/>
      <c r="G133" s="10">
        <v>1.2999999999999999E-2</v>
      </c>
      <c r="I133" s="26">
        <f t="shared" si="70"/>
        <v>0</v>
      </c>
      <c r="J133" s="14">
        <f t="shared" si="73"/>
        <v>0</v>
      </c>
      <c r="K133" s="44"/>
      <c r="L133" s="14">
        <f t="shared" si="74"/>
        <v>0</v>
      </c>
      <c r="M133" s="44"/>
      <c r="N133" s="38"/>
    </row>
    <row r="134" spans="1:14" x14ac:dyDescent="0.15">
      <c r="A134" s="28"/>
      <c r="B134" s="28"/>
      <c r="C134" s="29"/>
      <c r="D134" s="30"/>
      <c r="E134" s="30"/>
      <c r="F134" s="30"/>
      <c r="G134" s="31"/>
      <c r="I134" s="32"/>
      <c r="J134" s="32"/>
      <c r="K134" s="32"/>
      <c r="L134" s="32"/>
      <c r="M134" s="32"/>
      <c r="N134" s="34"/>
    </row>
    <row r="135" spans="1:14" x14ac:dyDescent="0.15">
      <c r="A135" s="28"/>
      <c r="B135" s="28"/>
      <c r="C135" s="29"/>
      <c r="D135" s="30"/>
      <c r="E135" s="30"/>
      <c r="F135" s="30"/>
      <c r="G135" s="31"/>
      <c r="I135" s="32"/>
      <c r="J135" s="32"/>
      <c r="K135" s="32"/>
      <c r="L135" s="32"/>
      <c r="M135" s="32"/>
      <c r="N135" s="34"/>
    </row>
    <row r="136" spans="1:14" x14ac:dyDescent="0.15">
      <c r="A136" s="28"/>
      <c r="B136" s="28"/>
      <c r="C136" s="29"/>
      <c r="D136" s="30"/>
      <c r="E136" s="30"/>
      <c r="F136" s="30"/>
      <c r="G136" s="31"/>
      <c r="I136" s="32"/>
      <c r="J136" s="32"/>
      <c r="K136" s="32"/>
      <c r="L136" s="32"/>
      <c r="M136" s="32"/>
      <c r="N136" s="34"/>
    </row>
    <row r="137" spans="1:14" x14ac:dyDescent="0.15">
      <c r="A137" s="28"/>
      <c r="B137" s="28"/>
      <c r="C137" s="29"/>
      <c r="D137" s="30"/>
      <c r="E137" s="30"/>
      <c r="F137" s="30"/>
      <c r="G137" s="31"/>
      <c r="I137" s="32"/>
      <c r="J137" s="32"/>
      <c r="K137" s="32"/>
      <c r="L137" s="32"/>
      <c r="M137" s="32"/>
      <c r="N137" s="34"/>
    </row>
    <row r="138" spans="1:14" x14ac:dyDescent="0.15">
      <c r="A138" s="28"/>
      <c r="B138" s="28"/>
      <c r="C138" s="29"/>
      <c r="D138" s="30"/>
      <c r="E138" s="30"/>
      <c r="F138" s="30"/>
      <c r="G138" s="31"/>
      <c r="I138" s="32"/>
      <c r="J138" s="32"/>
      <c r="K138" s="32"/>
      <c r="L138" s="32"/>
      <c r="M138" s="33"/>
      <c r="N138" s="34"/>
    </row>
    <row r="139" spans="1:14" x14ac:dyDescent="0.15">
      <c r="A139" s="11" t="s">
        <v>7</v>
      </c>
      <c r="B139" s="5" t="s">
        <v>22</v>
      </c>
      <c r="C139" s="11"/>
      <c r="D139" s="12" t="s">
        <v>25</v>
      </c>
      <c r="E139" s="51" t="str">
        <f>$N$5</f>
        <v>psi</v>
      </c>
      <c r="F139" s="51"/>
      <c r="G139" s="4"/>
      <c r="I139" s="18" t="s">
        <v>7</v>
      </c>
      <c r="J139" s="13" t="str">
        <f>B139</f>
        <v>CH16</v>
      </c>
      <c r="K139" s="6"/>
      <c r="L139" s="12"/>
      <c r="M139" s="5"/>
      <c r="N139" s="13"/>
    </row>
    <row r="140" spans="1:14" ht="15" customHeight="1" x14ac:dyDescent="0.15">
      <c r="A140" s="54" t="s">
        <v>28</v>
      </c>
      <c r="B140" s="54" t="s">
        <v>29</v>
      </c>
      <c r="C140" s="56"/>
      <c r="D140" s="57" t="s">
        <v>27</v>
      </c>
      <c r="E140" s="59" t="s">
        <v>26</v>
      </c>
      <c r="F140" s="60"/>
      <c r="G140" s="49" t="s">
        <v>3</v>
      </c>
      <c r="I140" s="36" t="s">
        <v>28</v>
      </c>
      <c r="J140" s="45" t="s">
        <v>35</v>
      </c>
      <c r="K140" s="47" t="s">
        <v>31</v>
      </c>
      <c r="L140" s="41" t="s">
        <v>36</v>
      </c>
      <c r="M140" s="38" t="s">
        <v>31</v>
      </c>
      <c r="N140" s="37" t="s">
        <v>37</v>
      </c>
    </row>
    <row r="141" spans="1:14" x14ac:dyDescent="0.15">
      <c r="A141" s="55"/>
      <c r="B141" s="8" t="s">
        <v>4</v>
      </c>
      <c r="C141" s="9" t="s">
        <v>5</v>
      </c>
      <c r="D141" s="58"/>
      <c r="E141" s="61"/>
      <c r="F141" s="62"/>
      <c r="G141" s="50"/>
      <c r="I141" s="35" t="str">
        <f>"（"&amp;$N$5&amp;"）"</f>
        <v>（psi）</v>
      </c>
      <c r="J141" s="46"/>
      <c r="K141" s="47"/>
      <c r="L141" s="41"/>
      <c r="M141" s="38"/>
      <c r="N141" s="38"/>
    </row>
    <row r="142" spans="1:14" x14ac:dyDescent="0.15">
      <c r="A142" s="23">
        <v>0</v>
      </c>
      <c r="B142" s="23">
        <v>0</v>
      </c>
      <c r="C142" s="24">
        <v>0</v>
      </c>
      <c r="D142" s="25">
        <f>IF(ABS(B142-A142)&gt;ABS(C142-A142),B142-A142,C142-A142)</f>
        <v>0</v>
      </c>
      <c r="E142" s="52">
        <f>ABS(B142-C142)</f>
        <v>0</v>
      </c>
      <c r="F142" s="52"/>
      <c r="G142" s="10">
        <v>1.2999999999999999E-2</v>
      </c>
      <c r="I142" s="26">
        <f t="shared" ref="I142:I145" si="75">A142</f>
        <v>0</v>
      </c>
      <c r="J142" s="14">
        <f>ABS(D142)/($N$6-$L$6)</f>
        <v>0</v>
      </c>
      <c r="K142" s="42">
        <f>MAX(J142:J145)</f>
        <v>0</v>
      </c>
      <c r="L142" s="14">
        <f>ABS(E142)/($N$6-$L$6)</f>
        <v>0</v>
      </c>
      <c r="M142" s="42">
        <f>MAX(L142:L145)</f>
        <v>0</v>
      </c>
      <c r="N142" s="38"/>
    </row>
    <row r="143" spans="1:14" x14ac:dyDescent="0.15">
      <c r="A143" s="23">
        <v>0</v>
      </c>
      <c r="B143" s="23">
        <v>0</v>
      </c>
      <c r="C143" s="24">
        <v>0</v>
      </c>
      <c r="D143" s="25">
        <f t="shared" ref="D143:D145" si="76">IF(ABS(B143-A143)&gt;ABS(C143-A143),B143-A143,C143-A143)</f>
        <v>0</v>
      </c>
      <c r="E143" s="52">
        <f t="shared" ref="E143:E145" si="77">ABS(B143-C143)</f>
        <v>0</v>
      </c>
      <c r="F143" s="52"/>
      <c r="G143" s="10">
        <v>1.2999999999999999E-2</v>
      </c>
      <c r="I143" s="26">
        <f t="shared" si="75"/>
        <v>0</v>
      </c>
      <c r="J143" s="14">
        <f t="shared" ref="J143:J145" si="78">ABS(D143)/($N$6-$L$6)</f>
        <v>0</v>
      </c>
      <c r="K143" s="43"/>
      <c r="L143" s="14">
        <f t="shared" ref="L143:L145" si="79">ABS(E143)/($N$6-$L$6)</f>
        <v>0</v>
      </c>
      <c r="M143" s="43"/>
      <c r="N143" s="38"/>
    </row>
    <row r="144" spans="1:14" x14ac:dyDescent="0.15">
      <c r="A144" s="23">
        <v>0</v>
      </c>
      <c r="B144" s="23">
        <v>0</v>
      </c>
      <c r="C144" s="24">
        <v>0</v>
      </c>
      <c r="D144" s="25">
        <f t="shared" si="76"/>
        <v>0</v>
      </c>
      <c r="E144" s="52">
        <f t="shared" si="77"/>
        <v>0</v>
      </c>
      <c r="F144" s="52"/>
      <c r="G144" s="10">
        <v>1.2999999999999999E-2</v>
      </c>
      <c r="I144" s="26">
        <f t="shared" si="75"/>
        <v>0</v>
      </c>
      <c r="J144" s="14">
        <f t="shared" si="78"/>
        <v>0</v>
      </c>
      <c r="K144" s="43"/>
      <c r="L144" s="14">
        <f t="shared" si="79"/>
        <v>0</v>
      </c>
      <c r="M144" s="43"/>
      <c r="N144" s="38"/>
    </row>
    <row r="145" spans="1:14" x14ac:dyDescent="0.15">
      <c r="A145" s="23">
        <v>0</v>
      </c>
      <c r="B145" s="23">
        <v>0</v>
      </c>
      <c r="C145" s="24">
        <v>0</v>
      </c>
      <c r="D145" s="25">
        <f t="shared" si="76"/>
        <v>0</v>
      </c>
      <c r="E145" s="52">
        <f t="shared" si="77"/>
        <v>0</v>
      </c>
      <c r="F145" s="52"/>
      <c r="G145" s="10">
        <v>1.2999999999999999E-2</v>
      </c>
      <c r="I145" s="26">
        <f t="shared" si="75"/>
        <v>0</v>
      </c>
      <c r="J145" s="14">
        <f t="shared" si="78"/>
        <v>0</v>
      </c>
      <c r="K145" s="44"/>
      <c r="L145" s="14">
        <f t="shared" si="79"/>
        <v>0</v>
      </c>
      <c r="M145" s="44"/>
      <c r="N145" s="38"/>
    </row>
    <row r="146" spans="1:14" x14ac:dyDescent="0.15">
      <c r="A146" s="28"/>
      <c r="B146" s="28"/>
      <c r="C146" s="29"/>
      <c r="D146" s="30"/>
      <c r="E146" s="30"/>
      <c r="F146" s="30"/>
      <c r="G146" s="31"/>
      <c r="I146" s="32"/>
      <c r="J146" s="32"/>
      <c r="K146" s="32"/>
      <c r="L146" s="32"/>
      <c r="M146" s="32"/>
      <c r="N146" s="34"/>
    </row>
    <row r="147" spans="1:14" x14ac:dyDescent="0.15">
      <c r="A147" s="53"/>
      <c r="B147" s="53"/>
      <c r="C147" s="53"/>
      <c r="D147" s="53"/>
      <c r="E147" s="53"/>
      <c r="F147" s="53"/>
      <c r="G147" s="53"/>
    </row>
    <row r="148" spans="1:14" x14ac:dyDescent="0.15">
      <c r="A148" s="63" t="s">
        <v>2</v>
      </c>
      <c r="B148" s="63"/>
      <c r="C148" s="63"/>
      <c r="D148" s="63"/>
      <c r="E148" s="63"/>
      <c r="F148" s="63"/>
      <c r="G148" s="63"/>
    </row>
    <row r="149" spans="1:14" x14ac:dyDescent="0.15">
      <c r="A149" s="53" t="s">
        <v>1</v>
      </c>
      <c r="B149" s="53"/>
      <c r="C149" s="53"/>
      <c r="D149" s="53"/>
      <c r="E149" s="53"/>
      <c r="F149" s="53"/>
      <c r="G149" s="53"/>
    </row>
  </sheetData>
  <mergeCells count="297">
    <mergeCell ref="A140:A141"/>
    <mergeCell ref="B140:C140"/>
    <mergeCell ref="D140:D141"/>
    <mergeCell ref="E140:F141"/>
    <mergeCell ref="G140:G141"/>
    <mergeCell ref="E142:F142"/>
    <mergeCell ref="E143:F143"/>
    <mergeCell ref="E144:F144"/>
    <mergeCell ref="E145:F145"/>
    <mergeCell ref="E130:F130"/>
    <mergeCell ref="E131:F131"/>
    <mergeCell ref="E132:F132"/>
    <mergeCell ref="E133:F133"/>
    <mergeCell ref="E139:F139"/>
    <mergeCell ref="E123:F123"/>
    <mergeCell ref="E124:F124"/>
    <mergeCell ref="E125:F125"/>
    <mergeCell ref="E127:F127"/>
    <mergeCell ref="A128:A129"/>
    <mergeCell ref="B128:C128"/>
    <mergeCell ref="D128:D129"/>
    <mergeCell ref="E128:F129"/>
    <mergeCell ref="A120:A121"/>
    <mergeCell ref="B120:C120"/>
    <mergeCell ref="D120:D121"/>
    <mergeCell ref="E120:F121"/>
    <mergeCell ref="G120:G121"/>
    <mergeCell ref="E122:F122"/>
    <mergeCell ref="G128:G129"/>
    <mergeCell ref="G112:G113"/>
    <mergeCell ref="E114:F114"/>
    <mergeCell ref="E115:F115"/>
    <mergeCell ref="E116:F116"/>
    <mergeCell ref="E117:F117"/>
    <mergeCell ref="E119:F119"/>
    <mergeCell ref="E111:F111"/>
    <mergeCell ref="A112:A113"/>
    <mergeCell ref="B112:C112"/>
    <mergeCell ref="D112:D113"/>
    <mergeCell ref="E112:F113"/>
    <mergeCell ref="A104:A105"/>
    <mergeCell ref="B104:C104"/>
    <mergeCell ref="D104:D105"/>
    <mergeCell ref="E104:F105"/>
    <mergeCell ref="E106:F106"/>
    <mergeCell ref="E107:F107"/>
    <mergeCell ref="E21:F21"/>
    <mergeCell ref="G24:G25"/>
    <mergeCell ref="E26:F26"/>
    <mergeCell ref="E27:F27"/>
    <mergeCell ref="E28:F28"/>
    <mergeCell ref="E29:F29"/>
    <mergeCell ref="E31:F31"/>
    <mergeCell ref="E103:F103"/>
    <mergeCell ref="E67:F67"/>
    <mergeCell ref="E98:F98"/>
    <mergeCell ref="E99:F99"/>
    <mergeCell ref="E100:F100"/>
    <mergeCell ref="E44:F44"/>
    <mergeCell ref="D40:D41"/>
    <mergeCell ref="A32:A33"/>
    <mergeCell ref="B32:C32"/>
    <mergeCell ref="D32:D33"/>
    <mergeCell ref="A60:A61"/>
    <mergeCell ref="E19:F19"/>
    <mergeCell ref="F1:G1"/>
    <mergeCell ref="G8:G9"/>
    <mergeCell ref="E8:F9"/>
    <mergeCell ref="E10:F10"/>
    <mergeCell ref="E11:F11"/>
    <mergeCell ref="G104:G105"/>
    <mergeCell ref="E108:F108"/>
    <mergeCell ref="E109:F109"/>
    <mergeCell ref="E40:F41"/>
    <mergeCell ref="G40:G41"/>
    <mergeCell ref="E42:F42"/>
    <mergeCell ref="E32:F33"/>
    <mergeCell ref="G32:G33"/>
    <mergeCell ref="E37:F37"/>
    <mergeCell ref="E34:F34"/>
    <mergeCell ref="E35:F35"/>
    <mergeCell ref="E36:F36"/>
    <mergeCell ref="E51:F51"/>
    <mergeCell ref="E43:F43"/>
    <mergeCell ref="E39:F39"/>
    <mergeCell ref="E16:F17"/>
    <mergeCell ref="G16:G17"/>
    <mergeCell ref="E45:F45"/>
    <mergeCell ref="A147:G147"/>
    <mergeCell ref="A148:G148"/>
    <mergeCell ref="A149:G149"/>
    <mergeCell ref="A3:G3"/>
    <mergeCell ref="A4:G4"/>
    <mergeCell ref="A8:A9"/>
    <mergeCell ref="B8:C8"/>
    <mergeCell ref="D8:D9"/>
    <mergeCell ref="E12:F12"/>
    <mergeCell ref="E13:F13"/>
    <mergeCell ref="E7:F7"/>
    <mergeCell ref="E18:F18"/>
    <mergeCell ref="E20:F20"/>
    <mergeCell ref="E15:F15"/>
    <mergeCell ref="E23:F23"/>
    <mergeCell ref="A24:A25"/>
    <mergeCell ref="B24:C24"/>
    <mergeCell ref="D24:D25"/>
    <mergeCell ref="E24:F25"/>
    <mergeCell ref="A16:A17"/>
    <mergeCell ref="A40:A41"/>
    <mergeCell ref="B16:C16"/>
    <mergeCell ref="D16:D17"/>
    <mergeCell ref="B40:C40"/>
    <mergeCell ref="B60:C60"/>
    <mergeCell ref="D60:D61"/>
    <mergeCell ref="E60:F61"/>
    <mergeCell ref="G52:G53"/>
    <mergeCell ref="E57:F57"/>
    <mergeCell ref="E54:F54"/>
    <mergeCell ref="E55:F55"/>
    <mergeCell ref="E56:F56"/>
    <mergeCell ref="A52:A53"/>
    <mergeCell ref="B52:C52"/>
    <mergeCell ref="D52:D53"/>
    <mergeCell ref="E52:F53"/>
    <mergeCell ref="G60:G61"/>
    <mergeCell ref="A68:A69"/>
    <mergeCell ref="B68:C68"/>
    <mergeCell ref="D68:D69"/>
    <mergeCell ref="E68:F69"/>
    <mergeCell ref="A76:A77"/>
    <mergeCell ref="B76:C76"/>
    <mergeCell ref="D76:D77"/>
    <mergeCell ref="E76:F77"/>
    <mergeCell ref="E71:F71"/>
    <mergeCell ref="E72:F72"/>
    <mergeCell ref="E73:F73"/>
    <mergeCell ref="E75:F75"/>
    <mergeCell ref="E70:F70"/>
    <mergeCell ref="A96:A97"/>
    <mergeCell ref="B96:C96"/>
    <mergeCell ref="D96:D97"/>
    <mergeCell ref="E96:F97"/>
    <mergeCell ref="G96:G97"/>
    <mergeCell ref="A84:A85"/>
    <mergeCell ref="B84:C84"/>
    <mergeCell ref="D84:D85"/>
    <mergeCell ref="E84:F85"/>
    <mergeCell ref="G84:G85"/>
    <mergeCell ref="E88:F88"/>
    <mergeCell ref="E86:F86"/>
    <mergeCell ref="E87:F87"/>
    <mergeCell ref="E89:F89"/>
    <mergeCell ref="E95:F95"/>
    <mergeCell ref="K70:K73"/>
    <mergeCell ref="I4:M4"/>
    <mergeCell ref="M26:M29"/>
    <mergeCell ref="J32:J33"/>
    <mergeCell ref="K32:K33"/>
    <mergeCell ref="L32:L33"/>
    <mergeCell ref="M32:M33"/>
    <mergeCell ref="K34:K37"/>
    <mergeCell ref="M34:M37"/>
    <mergeCell ref="J40:J41"/>
    <mergeCell ref="K40:K41"/>
    <mergeCell ref="L40:L41"/>
    <mergeCell ref="M40:M41"/>
    <mergeCell ref="K26:K29"/>
    <mergeCell ref="K42:K45"/>
    <mergeCell ref="M42:M45"/>
    <mergeCell ref="J52:J53"/>
    <mergeCell ref="K52:K53"/>
    <mergeCell ref="J60:J61"/>
    <mergeCell ref="K60:K61"/>
    <mergeCell ref="L60:L61"/>
    <mergeCell ref="M60:M61"/>
    <mergeCell ref="K62:K65"/>
    <mergeCell ref="M62:M65"/>
    <mergeCell ref="G68:G69"/>
    <mergeCell ref="E59:F59"/>
    <mergeCell ref="E64:F64"/>
    <mergeCell ref="E65:F65"/>
    <mergeCell ref="E62:F62"/>
    <mergeCell ref="E63:F63"/>
    <mergeCell ref="E101:F101"/>
    <mergeCell ref="G76:G77"/>
    <mergeCell ref="E83:F83"/>
    <mergeCell ref="E80:F80"/>
    <mergeCell ref="E81:F81"/>
    <mergeCell ref="E78:F78"/>
    <mergeCell ref="E79:F79"/>
    <mergeCell ref="I3:M3"/>
    <mergeCell ref="J68:J69"/>
    <mergeCell ref="K68:K69"/>
    <mergeCell ref="L68:L69"/>
    <mergeCell ref="M68:M69"/>
    <mergeCell ref="K24:K25"/>
    <mergeCell ref="J24:J25"/>
    <mergeCell ref="M18:M21"/>
    <mergeCell ref="K18:K21"/>
    <mergeCell ref="K54:K57"/>
    <mergeCell ref="K8:K9"/>
    <mergeCell ref="J8:J9"/>
    <mergeCell ref="M16:M17"/>
    <mergeCell ref="L16:L17"/>
    <mergeCell ref="K16:K17"/>
    <mergeCell ref="J16:J17"/>
    <mergeCell ref="M10:M13"/>
    <mergeCell ref="K10:K13"/>
    <mergeCell ref="J76:J77"/>
    <mergeCell ref="K76:K77"/>
    <mergeCell ref="L76:L77"/>
    <mergeCell ref="M76:M77"/>
    <mergeCell ref="K78:K81"/>
    <mergeCell ref="M78:M81"/>
    <mergeCell ref="J84:J85"/>
    <mergeCell ref="K84:K85"/>
    <mergeCell ref="L84:L85"/>
    <mergeCell ref="M84:M85"/>
    <mergeCell ref="K86:K89"/>
    <mergeCell ref="M86:M89"/>
    <mergeCell ref="J96:J97"/>
    <mergeCell ref="K96:K97"/>
    <mergeCell ref="L96:L97"/>
    <mergeCell ref="M96:M97"/>
    <mergeCell ref="K98:K101"/>
    <mergeCell ref="M98:M101"/>
    <mergeCell ref="J104:J105"/>
    <mergeCell ref="K104:K105"/>
    <mergeCell ref="L104:L105"/>
    <mergeCell ref="M104:M105"/>
    <mergeCell ref="K142:K145"/>
    <mergeCell ref="M142:M145"/>
    <mergeCell ref="K122:K125"/>
    <mergeCell ref="M122:M125"/>
    <mergeCell ref="J128:J129"/>
    <mergeCell ref="K128:K129"/>
    <mergeCell ref="L128:L129"/>
    <mergeCell ref="M128:M129"/>
    <mergeCell ref="K130:K133"/>
    <mergeCell ref="M130:M133"/>
    <mergeCell ref="J140:J141"/>
    <mergeCell ref="K140:K141"/>
    <mergeCell ref="L140:L141"/>
    <mergeCell ref="M140:M141"/>
    <mergeCell ref="K106:K109"/>
    <mergeCell ref="M106:M109"/>
    <mergeCell ref="J112:J113"/>
    <mergeCell ref="K112:K113"/>
    <mergeCell ref="L112:L113"/>
    <mergeCell ref="M112:M113"/>
    <mergeCell ref="K114:K117"/>
    <mergeCell ref="M114:M117"/>
    <mergeCell ref="J120:J121"/>
    <mergeCell ref="K120:K121"/>
    <mergeCell ref="L120:L121"/>
    <mergeCell ref="M120:M121"/>
    <mergeCell ref="N40:N41"/>
    <mergeCell ref="N42:N45"/>
    <mergeCell ref="N52:N53"/>
    <mergeCell ref="N54:N57"/>
    <mergeCell ref="N60:N61"/>
    <mergeCell ref="N62:N65"/>
    <mergeCell ref="N142:N145"/>
    <mergeCell ref="N68:N69"/>
    <mergeCell ref="N70:N73"/>
    <mergeCell ref="N76:N77"/>
    <mergeCell ref="N78:N81"/>
    <mergeCell ref="N84:N85"/>
    <mergeCell ref="N86:N89"/>
    <mergeCell ref="N96:N97"/>
    <mergeCell ref="N98:N101"/>
    <mergeCell ref="N104:N105"/>
    <mergeCell ref="N140:N141"/>
    <mergeCell ref="N24:N25"/>
    <mergeCell ref="L1:L2"/>
    <mergeCell ref="N106:N109"/>
    <mergeCell ref="N112:N113"/>
    <mergeCell ref="N114:N117"/>
    <mergeCell ref="N120:N121"/>
    <mergeCell ref="N122:N125"/>
    <mergeCell ref="N128:N129"/>
    <mergeCell ref="N130:N133"/>
    <mergeCell ref="M24:M25"/>
    <mergeCell ref="L24:L25"/>
    <mergeCell ref="L52:L53"/>
    <mergeCell ref="M52:M53"/>
    <mergeCell ref="N8:N9"/>
    <mergeCell ref="N10:N13"/>
    <mergeCell ref="N16:N17"/>
    <mergeCell ref="N18:N21"/>
    <mergeCell ref="M8:M9"/>
    <mergeCell ref="L8:L9"/>
    <mergeCell ref="M70:M73"/>
    <mergeCell ref="M54:M57"/>
    <mergeCell ref="N26:N29"/>
    <mergeCell ref="N32:N33"/>
    <mergeCell ref="N34:N37"/>
  </mergeCells>
  <phoneticPr fontId="8" type="noConversion"/>
  <conditionalFormatting sqref="J10:J13">
    <cfRule type="cellIs" dxfId="65" priority="594" operator="greaterThanOrEqual">
      <formula>$J$6/100</formula>
    </cfRule>
    <cfRule type="cellIs" dxfId="64" priority="593" operator="lessThan">
      <formula>$J$6/100</formula>
    </cfRule>
  </conditionalFormatting>
  <conditionalFormatting sqref="M2:N2">
    <cfRule type="cellIs" dxfId="63" priority="405" operator="lessThan">
      <formula>0.0005</formula>
    </cfRule>
    <cfRule type="cellIs" dxfId="62" priority="406" operator="greaterThanOrEqual">
      <formula>0.0005</formula>
    </cfRule>
  </conditionalFormatting>
  <conditionalFormatting sqref="K10:M10 L11:L13">
    <cfRule type="cellIs" dxfId="61" priority="65" operator="lessThan">
      <formula>$J$6/100</formula>
    </cfRule>
    <cfRule type="cellIs" dxfId="60" priority="66" operator="greaterThanOrEqual">
      <formula>$J$6/100</formula>
    </cfRule>
  </conditionalFormatting>
  <conditionalFormatting sqref="J18:J21">
    <cfRule type="cellIs" dxfId="59" priority="59" operator="lessThan">
      <formula>$J$6/100</formula>
    </cfRule>
    <cfRule type="cellIs" dxfId="58" priority="60" operator="greaterThanOrEqual">
      <formula>$J$6/100</formula>
    </cfRule>
  </conditionalFormatting>
  <conditionalFormatting sqref="K18:M18 L19:L21">
    <cfRule type="cellIs" dxfId="57" priority="57" operator="lessThan">
      <formula>$J$6/100</formula>
    </cfRule>
    <cfRule type="cellIs" dxfId="56" priority="58" operator="greaterThanOrEqual">
      <formula>$J$6/100</formula>
    </cfRule>
  </conditionalFormatting>
  <conditionalFormatting sqref="J26:J29">
    <cfRule type="cellIs" dxfId="55" priority="55" operator="lessThan">
      <formula>$J$6/100</formula>
    </cfRule>
    <cfRule type="cellIs" dxfId="54" priority="56" operator="greaterThanOrEqual">
      <formula>$J$6/100</formula>
    </cfRule>
  </conditionalFormatting>
  <conditionalFormatting sqref="K26:M26 L27:L29">
    <cfRule type="cellIs" dxfId="53" priority="53" operator="lessThan">
      <formula>$J$6/100</formula>
    </cfRule>
    <cfRule type="cellIs" dxfId="52" priority="54" operator="greaterThanOrEqual">
      <formula>$J$6/100</formula>
    </cfRule>
  </conditionalFormatting>
  <conditionalFormatting sqref="J34:J37">
    <cfRule type="cellIs" dxfId="51" priority="51" operator="lessThan">
      <formula>$J$6/100</formula>
    </cfRule>
    <cfRule type="cellIs" dxfId="50" priority="52" operator="greaterThanOrEqual">
      <formula>$J$6/100</formula>
    </cfRule>
  </conditionalFormatting>
  <conditionalFormatting sqref="K34:M34 L35:L37">
    <cfRule type="cellIs" dxfId="49" priority="49" operator="lessThan">
      <formula>$J$6/100</formula>
    </cfRule>
    <cfRule type="cellIs" dxfId="48" priority="50" operator="greaterThanOrEqual">
      <formula>$J$6/100</formula>
    </cfRule>
  </conditionalFormatting>
  <conditionalFormatting sqref="J42:J45">
    <cfRule type="cellIs" dxfId="47" priority="47" operator="lessThan">
      <formula>$J$6/100</formula>
    </cfRule>
    <cfRule type="cellIs" dxfId="46" priority="48" operator="greaterThanOrEqual">
      <formula>$J$6/100</formula>
    </cfRule>
  </conditionalFormatting>
  <conditionalFormatting sqref="K42:M42 L43:L45">
    <cfRule type="cellIs" dxfId="45" priority="45" operator="lessThan">
      <formula>$J$6/100</formula>
    </cfRule>
    <cfRule type="cellIs" dxfId="44" priority="46" operator="greaterThanOrEqual">
      <formula>$J$6/100</formula>
    </cfRule>
  </conditionalFormatting>
  <conditionalFormatting sqref="J54:J57">
    <cfRule type="cellIs" dxfId="43" priority="43" operator="lessThan">
      <formula>$J$6/100</formula>
    </cfRule>
    <cfRule type="cellIs" dxfId="42" priority="44" operator="greaterThanOrEqual">
      <formula>$J$6/100</formula>
    </cfRule>
  </conditionalFormatting>
  <conditionalFormatting sqref="K54:M54 L55:L57">
    <cfRule type="cellIs" dxfId="41" priority="41" operator="lessThan">
      <formula>$J$6/100</formula>
    </cfRule>
    <cfRule type="cellIs" dxfId="40" priority="42" operator="greaterThanOrEqual">
      <formula>$J$6/100</formula>
    </cfRule>
  </conditionalFormatting>
  <conditionalFormatting sqref="J62:J65">
    <cfRule type="cellIs" dxfId="39" priority="39" operator="lessThan">
      <formula>$J$6/100</formula>
    </cfRule>
    <cfRule type="cellIs" dxfId="38" priority="40" operator="greaterThanOrEqual">
      <formula>$J$6/100</formula>
    </cfRule>
  </conditionalFormatting>
  <conditionalFormatting sqref="K62:M62 L63:L65">
    <cfRule type="cellIs" dxfId="37" priority="37" operator="lessThan">
      <formula>$J$6/100</formula>
    </cfRule>
    <cfRule type="cellIs" dxfId="36" priority="38" operator="greaterThanOrEqual">
      <formula>$J$6/100</formula>
    </cfRule>
  </conditionalFormatting>
  <conditionalFormatting sqref="J70:J73">
    <cfRule type="cellIs" dxfId="35" priority="35" operator="lessThan">
      <formula>$J$6/100</formula>
    </cfRule>
    <cfRule type="cellIs" dxfId="34" priority="36" operator="greaterThanOrEqual">
      <formula>$J$6/100</formula>
    </cfRule>
  </conditionalFormatting>
  <conditionalFormatting sqref="K70:M70 L71:L73">
    <cfRule type="cellIs" dxfId="33" priority="33" operator="lessThan">
      <formula>$J$6/100</formula>
    </cfRule>
    <cfRule type="cellIs" dxfId="32" priority="34" operator="greaterThanOrEqual">
      <formula>$J$6/100</formula>
    </cfRule>
  </conditionalFormatting>
  <conditionalFormatting sqref="J78:J81">
    <cfRule type="cellIs" dxfId="31" priority="31" operator="lessThan">
      <formula>$J$6/100</formula>
    </cfRule>
    <cfRule type="cellIs" dxfId="30" priority="32" operator="greaterThanOrEqual">
      <formula>$J$6/100</formula>
    </cfRule>
  </conditionalFormatting>
  <conditionalFormatting sqref="K78:M78 L79:L81">
    <cfRule type="cellIs" dxfId="29" priority="29" operator="lessThan">
      <formula>$J$6/100</formula>
    </cfRule>
    <cfRule type="cellIs" dxfId="28" priority="30" operator="greaterThanOrEqual">
      <formula>$J$6/100</formula>
    </cfRule>
  </conditionalFormatting>
  <conditionalFormatting sqref="J86:J89">
    <cfRule type="cellIs" dxfId="27" priority="27" operator="lessThan">
      <formula>$J$6/100</formula>
    </cfRule>
    <cfRule type="cellIs" dxfId="26" priority="28" operator="greaterThanOrEqual">
      <formula>$J$6/100</formula>
    </cfRule>
  </conditionalFormatting>
  <conditionalFormatting sqref="K86:M86 L87:L89">
    <cfRule type="cellIs" dxfId="25" priority="25" operator="lessThan">
      <formula>$J$6/100</formula>
    </cfRule>
    <cfRule type="cellIs" dxfId="24" priority="26" operator="greaterThanOrEqual">
      <formula>$J$6/100</formula>
    </cfRule>
  </conditionalFormatting>
  <conditionalFormatting sqref="J98:J101">
    <cfRule type="cellIs" dxfId="23" priority="23" operator="lessThan">
      <formula>$J$6/100</formula>
    </cfRule>
    <cfRule type="cellIs" dxfId="22" priority="24" operator="greaterThanOrEqual">
      <formula>$J$6/100</formula>
    </cfRule>
  </conditionalFormatting>
  <conditionalFormatting sqref="K98:M98 L99:L101">
    <cfRule type="cellIs" dxfId="21" priority="21" operator="lessThan">
      <formula>$J$6/100</formula>
    </cfRule>
    <cfRule type="cellIs" dxfId="20" priority="22" operator="greaterThanOrEqual">
      <formula>$J$6/100</formula>
    </cfRule>
  </conditionalFormatting>
  <conditionalFormatting sqref="J106:J109">
    <cfRule type="cellIs" dxfId="19" priority="19" operator="lessThan">
      <formula>$J$6/100</formula>
    </cfRule>
    <cfRule type="cellIs" dxfId="18" priority="20" operator="greaterThanOrEqual">
      <formula>$J$6/100</formula>
    </cfRule>
  </conditionalFormatting>
  <conditionalFormatting sqref="K106:M106 L107:L109">
    <cfRule type="cellIs" dxfId="17" priority="17" operator="lessThan">
      <formula>$J$6/100</formula>
    </cfRule>
    <cfRule type="cellIs" dxfId="16" priority="18" operator="greaterThanOrEqual">
      <formula>$J$6/100</formula>
    </cfRule>
  </conditionalFormatting>
  <conditionalFormatting sqref="J114:J117">
    <cfRule type="cellIs" dxfId="15" priority="15" operator="lessThan">
      <formula>$J$6/100</formula>
    </cfRule>
    <cfRule type="cellIs" dxfId="14" priority="16" operator="greaterThanOrEqual">
      <formula>$J$6/100</formula>
    </cfRule>
  </conditionalFormatting>
  <conditionalFormatting sqref="K114:M114 L115:L117">
    <cfRule type="cellIs" dxfId="13" priority="13" operator="lessThan">
      <formula>$J$6/100</formula>
    </cfRule>
    <cfRule type="cellIs" dxfId="12" priority="14" operator="greaterThanOrEqual">
      <formula>$J$6/100</formula>
    </cfRule>
  </conditionalFormatting>
  <conditionalFormatting sqref="J122:J125">
    <cfRule type="cellIs" dxfId="11" priority="11" operator="lessThan">
      <formula>$J$6/100</formula>
    </cfRule>
    <cfRule type="cellIs" dxfId="10" priority="12" operator="greaterThanOrEqual">
      <formula>$J$6/100</formula>
    </cfRule>
  </conditionalFormatting>
  <conditionalFormatting sqref="K122:M122 L123:L125">
    <cfRule type="cellIs" dxfId="9" priority="9" operator="lessThan">
      <formula>$J$6/100</formula>
    </cfRule>
    <cfRule type="cellIs" dxfId="8" priority="10" operator="greaterThanOrEqual">
      <formula>$J$6/100</formula>
    </cfRule>
  </conditionalFormatting>
  <conditionalFormatting sqref="J130:J133">
    <cfRule type="cellIs" dxfId="7" priority="7" operator="lessThan">
      <formula>$J$6/100</formula>
    </cfRule>
    <cfRule type="cellIs" dxfId="6" priority="8" operator="greaterThanOrEqual">
      <formula>$J$6/100</formula>
    </cfRule>
  </conditionalFormatting>
  <conditionalFormatting sqref="K130:M130 L131:L133">
    <cfRule type="cellIs" dxfId="5" priority="5" operator="lessThan">
      <formula>$J$6/100</formula>
    </cfRule>
    <cfRule type="cellIs" dxfId="4" priority="6" operator="greaterThanOrEqual">
      <formula>$J$6/100</formula>
    </cfRule>
  </conditionalFormatting>
  <conditionalFormatting sqref="J142:J145">
    <cfRule type="cellIs" dxfId="3" priority="3" operator="lessThan">
      <formula>$J$6/100</formula>
    </cfRule>
    <cfRule type="cellIs" dxfId="2" priority="4" operator="greaterThanOrEqual">
      <formula>$J$6/100</formula>
    </cfRule>
  </conditionalFormatting>
  <conditionalFormatting sqref="K142:M142 L143:L145">
    <cfRule type="cellIs" dxfId="1" priority="1" operator="lessThan">
      <formula>$J$6/100</formula>
    </cfRule>
    <cfRule type="cellIs" dxfId="0" priority="2" operator="greaterThanOrEqual">
      <formula>$J$6/100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校准结果</vt:lpstr>
      <vt:lpstr>校准结果!Print_Titles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2024-04-23T06:56:25Z</cp:lastPrinted>
  <dcterms:created xsi:type="dcterms:W3CDTF">2022-12-06T12:02:00Z</dcterms:created>
  <dcterms:modified xsi:type="dcterms:W3CDTF">2024-05-16T08:47:28Z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