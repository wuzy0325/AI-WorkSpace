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D\svn\SoftWare\tag\WindLabX2\data\1604V2\"/>
    </mc:Choice>
  </mc:AlternateContent>
  <bookViews>
    <workbookView xWindow="-120" yWindow="-120" windowWidth="29040" windowHeight="16440"/>
  </bookViews>
  <sheets>
    <sheet name="校准结果" sheetId="16" r:id="rId1"/>
  </sheets>
  <definedNames>
    <definedName name="_xlnm.Print_Titles" localSheetId="0">校准结果!$1:$4</definedName>
    <definedName name="单位">校准结果!$N$5</definedName>
    <definedName name="量程最大值">校准结果!$N$6</definedName>
    <definedName name="量程最小值">校准结果!$L$6</definedName>
    <definedName name="通道1">校准结果!$A$10</definedName>
    <definedName name="通道10">校准结果!$A$92</definedName>
    <definedName name="通道11">校准结果!$A$102</definedName>
    <definedName name="通道12">校准结果!$A$111</definedName>
    <definedName name="通道13">校准结果!$A$120</definedName>
    <definedName name="通道14">校准结果!$A$129</definedName>
    <definedName name="通道15">校准结果!$A$138</definedName>
    <definedName name="通道16">校准结果!$A$148</definedName>
    <definedName name="通道2">校准结果!$A$19</definedName>
    <definedName name="通道3">校准结果!$A$28</definedName>
    <definedName name="通道4">校准结果!$A$37</definedName>
    <definedName name="通道5">校准结果!$A$46</definedName>
    <definedName name="通道6">校准结果!$A$56</definedName>
    <definedName name="通道7">校准结果!$A$65</definedName>
    <definedName name="通道8">校准结果!$A$74</definedName>
    <definedName name="通道9">校准结果!$A$83</definedName>
    <definedName name="校准日期">校准结果!$L$5</definedName>
    <definedName name="准确度等级">校准结果!$J$6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2" i="16" l="1"/>
  <c r="I151" i="16"/>
  <c r="I150" i="16"/>
  <c r="I149" i="16"/>
  <c r="I148" i="16"/>
  <c r="I147" i="16"/>
  <c r="J145" i="16"/>
  <c r="I142" i="16"/>
  <c r="I141" i="16"/>
  <c r="I140" i="16"/>
  <c r="I139" i="16"/>
  <c r="I138" i="16"/>
  <c r="I137" i="16"/>
  <c r="J135" i="16"/>
  <c r="I133" i="16"/>
  <c r="I132" i="16"/>
  <c r="I131" i="16"/>
  <c r="I130" i="16"/>
  <c r="I129" i="16"/>
  <c r="I128" i="16"/>
  <c r="J126" i="16"/>
  <c r="I124" i="16"/>
  <c r="I123" i="16"/>
  <c r="I122" i="16"/>
  <c r="I121" i="16"/>
  <c r="I120" i="16"/>
  <c r="I119" i="16"/>
  <c r="J117" i="16"/>
  <c r="I115" i="16"/>
  <c r="I114" i="16"/>
  <c r="I113" i="16"/>
  <c r="I112" i="16"/>
  <c r="I111" i="16"/>
  <c r="I110" i="16"/>
  <c r="J108" i="16"/>
  <c r="I106" i="16"/>
  <c r="I105" i="16"/>
  <c r="I104" i="16"/>
  <c r="I103" i="16"/>
  <c r="I102" i="16"/>
  <c r="I101" i="16"/>
  <c r="J99" i="16"/>
  <c r="I96" i="16"/>
  <c r="I95" i="16"/>
  <c r="I94" i="16"/>
  <c r="I93" i="16"/>
  <c r="I92" i="16"/>
  <c r="I91" i="16"/>
  <c r="J89" i="16"/>
  <c r="I87" i="16"/>
  <c r="I86" i="16"/>
  <c r="I85" i="16"/>
  <c r="I84" i="16"/>
  <c r="I83" i="16"/>
  <c r="I82" i="16"/>
  <c r="J80" i="16"/>
  <c r="I78" i="16"/>
  <c r="I77" i="16"/>
  <c r="I76" i="16"/>
  <c r="I75" i="16"/>
  <c r="I74" i="16"/>
  <c r="I73" i="16"/>
  <c r="J71" i="16"/>
  <c r="I69" i="16"/>
  <c r="I68" i="16"/>
  <c r="I67" i="16"/>
  <c r="I66" i="16"/>
  <c r="I65" i="16"/>
  <c r="I64" i="16"/>
  <c r="J62" i="16"/>
  <c r="I60" i="16"/>
  <c r="I59" i="16"/>
  <c r="I58" i="16"/>
  <c r="I57" i="16"/>
  <c r="I56" i="16"/>
  <c r="I55" i="16"/>
  <c r="J53" i="16"/>
  <c r="L50" i="16"/>
  <c r="J50" i="16"/>
  <c r="I50" i="16"/>
  <c r="I49" i="16"/>
  <c r="I48" i="16"/>
  <c r="I47" i="16"/>
  <c r="I46" i="16"/>
  <c r="I45" i="16"/>
  <c r="J43" i="16"/>
  <c r="I41" i="16"/>
  <c r="I40" i="16"/>
  <c r="I39" i="16"/>
  <c r="L38" i="16"/>
  <c r="J38" i="16"/>
  <c r="I38" i="16"/>
  <c r="I37" i="16"/>
  <c r="I36" i="16"/>
  <c r="J34" i="16"/>
  <c r="I32" i="16"/>
  <c r="I31" i="16"/>
  <c r="I30" i="16"/>
  <c r="I29" i="16"/>
  <c r="I28" i="16"/>
  <c r="I27" i="16"/>
  <c r="J25" i="16"/>
  <c r="I23" i="16"/>
  <c r="I22" i="16"/>
  <c r="I21" i="16"/>
  <c r="I20" i="16"/>
  <c r="I19" i="16"/>
  <c r="I18" i="16"/>
  <c r="J16" i="16"/>
  <c r="D48" i="16"/>
  <c r="J48" i="16" s="1"/>
  <c r="E48" i="16"/>
  <c r="L48" i="16" s="1"/>
  <c r="D49" i="16"/>
  <c r="J49" i="16" s="1"/>
  <c r="E49" i="16"/>
  <c r="L49" i="16" s="1"/>
  <c r="D50" i="16"/>
  <c r="E50" i="16"/>
  <c r="D37" i="16"/>
  <c r="J37" i="16" s="1"/>
  <c r="E37" i="16"/>
  <c r="L37" i="16" s="1"/>
  <c r="D38" i="16"/>
  <c r="E38" i="16"/>
  <c r="E16" i="16"/>
  <c r="E145" i="16" l="1"/>
  <c r="E135" i="16"/>
  <c r="E126" i="16"/>
  <c r="E117" i="16"/>
  <c r="E108" i="16"/>
  <c r="E99" i="16"/>
  <c r="E89" i="16"/>
  <c r="E80" i="16"/>
  <c r="E71" i="16"/>
  <c r="E62" i="16"/>
  <c r="E53" i="16"/>
  <c r="E43" i="16"/>
  <c r="E34" i="16"/>
  <c r="E25" i="16"/>
  <c r="E7" i="16"/>
  <c r="I9" i="16"/>
  <c r="I11" i="16" l="1"/>
  <c r="I12" i="16"/>
  <c r="I13" i="16"/>
  <c r="I14" i="16"/>
  <c r="I10" i="16"/>
  <c r="J7" i="16"/>
  <c r="E152" i="16" l="1"/>
  <c r="L152" i="16" s="1"/>
  <c r="D152" i="16"/>
  <c r="J152" i="16" s="1"/>
  <c r="E151" i="16"/>
  <c r="L151" i="16" s="1"/>
  <c r="D151" i="16"/>
  <c r="J151" i="16" s="1"/>
  <c r="E150" i="16"/>
  <c r="L150" i="16" s="1"/>
  <c r="D150" i="16"/>
  <c r="J150" i="16" s="1"/>
  <c r="E149" i="16"/>
  <c r="L149" i="16" s="1"/>
  <c r="D149" i="16"/>
  <c r="J149" i="16" s="1"/>
  <c r="E148" i="16"/>
  <c r="L148" i="16" s="1"/>
  <c r="M148" i="16" s="1"/>
  <c r="D148" i="16"/>
  <c r="J148" i="16" s="1"/>
  <c r="K148" i="16" s="1"/>
  <c r="E142" i="16"/>
  <c r="L142" i="16" s="1"/>
  <c r="D142" i="16"/>
  <c r="J142" i="16" s="1"/>
  <c r="E141" i="16"/>
  <c r="L141" i="16" s="1"/>
  <c r="D141" i="16"/>
  <c r="J141" i="16" s="1"/>
  <c r="E140" i="16"/>
  <c r="L140" i="16" s="1"/>
  <c r="D140" i="16"/>
  <c r="J140" i="16" s="1"/>
  <c r="E139" i="16"/>
  <c r="L139" i="16" s="1"/>
  <c r="D139" i="16"/>
  <c r="J139" i="16" s="1"/>
  <c r="E138" i="16"/>
  <c r="L138" i="16" s="1"/>
  <c r="D138" i="16"/>
  <c r="J138" i="16" s="1"/>
  <c r="E133" i="16"/>
  <c r="L133" i="16" s="1"/>
  <c r="D133" i="16"/>
  <c r="J133" i="16" s="1"/>
  <c r="E132" i="16"/>
  <c r="L132" i="16" s="1"/>
  <c r="D132" i="16"/>
  <c r="J132" i="16" s="1"/>
  <c r="E131" i="16"/>
  <c r="L131" i="16" s="1"/>
  <c r="D131" i="16"/>
  <c r="J131" i="16" s="1"/>
  <c r="E130" i="16"/>
  <c r="L130" i="16" s="1"/>
  <c r="D130" i="16"/>
  <c r="J130" i="16" s="1"/>
  <c r="E129" i="16"/>
  <c r="L129" i="16" s="1"/>
  <c r="D129" i="16"/>
  <c r="J129" i="16" s="1"/>
  <c r="E124" i="16"/>
  <c r="L124" i="16" s="1"/>
  <c r="D124" i="16"/>
  <c r="J124" i="16" s="1"/>
  <c r="E123" i="16"/>
  <c r="L123" i="16" s="1"/>
  <c r="D123" i="16"/>
  <c r="J123" i="16" s="1"/>
  <c r="E122" i="16"/>
  <c r="L122" i="16" s="1"/>
  <c r="D122" i="16"/>
  <c r="J122" i="16" s="1"/>
  <c r="E121" i="16"/>
  <c r="L121" i="16" s="1"/>
  <c r="D121" i="16"/>
  <c r="J121" i="16" s="1"/>
  <c r="E120" i="16"/>
  <c r="L120" i="16" s="1"/>
  <c r="D120" i="16"/>
  <c r="J120" i="16" s="1"/>
  <c r="E115" i="16"/>
  <c r="L115" i="16" s="1"/>
  <c r="D115" i="16"/>
  <c r="J115" i="16" s="1"/>
  <c r="E114" i="16"/>
  <c r="L114" i="16" s="1"/>
  <c r="D114" i="16"/>
  <c r="J114" i="16" s="1"/>
  <c r="E113" i="16"/>
  <c r="L113" i="16" s="1"/>
  <c r="D113" i="16"/>
  <c r="J113" i="16" s="1"/>
  <c r="E112" i="16"/>
  <c r="L112" i="16" s="1"/>
  <c r="D112" i="16"/>
  <c r="J112" i="16" s="1"/>
  <c r="E111" i="16"/>
  <c r="L111" i="16" s="1"/>
  <c r="D111" i="16"/>
  <c r="J111" i="16" s="1"/>
  <c r="E106" i="16"/>
  <c r="L106" i="16" s="1"/>
  <c r="D106" i="16"/>
  <c r="J106" i="16" s="1"/>
  <c r="E105" i="16"/>
  <c r="L105" i="16" s="1"/>
  <c r="D105" i="16"/>
  <c r="J105" i="16" s="1"/>
  <c r="E104" i="16"/>
  <c r="L104" i="16" s="1"/>
  <c r="D104" i="16"/>
  <c r="J104" i="16" s="1"/>
  <c r="E103" i="16"/>
  <c r="L103" i="16" s="1"/>
  <c r="D103" i="16"/>
  <c r="J103" i="16" s="1"/>
  <c r="E102" i="16"/>
  <c r="L102" i="16" s="1"/>
  <c r="M102" i="16" s="1"/>
  <c r="D102" i="16"/>
  <c r="J102" i="16" s="1"/>
  <c r="K102" i="16" s="1"/>
  <c r="E96" i="16"/>
  <c r="L96" i="16" s="1"/>
  <c r="D96" i="16"/>
  <c r="J96" i="16" s="1"/>
  <c r="E95" i="16"/>
  <c r="L95" i="16" s="1"/>
  <c r="D95" i="16"/>
  <c r="J95" i="16" s="1"/>
  <c r="E94" i="16"/>
  <c r="L94" i="16" s="1"/>
  <c r="D94" i="16"/>
  <c r="J94" i="16" s="1"/>
  <c r="E93" i="16"/>
  <c r="L93" i="16" s="1"/>
  <c r="D93" i="16"/>
  <c r="J93" i="16" s="1"/>
  <c r="E92" i="16"/>
  <c r="L92" i="16" s="1"/>
  <c r="D92" i="16"/>
  <c r="J92" i="16" s="1"/>
  <c r="E87" i="16"/>
  <c r="L87" i="16" s="1"/>
  <c r="D87" i="16"/>
  <c r="J87" i="16" s="1"/>
  <c r="E86" i="16"/>
  <c r="L86" i="16" s="1"/>
  <c r="D86" i="16"/>
  <c r="J86" i="16" s="1"/>
  <c r="E85" i="16"/>
  <c r="L85" i="16" s="1"/>
  <c r="D85" i="16"/>
  <c r="J85" i="16" s="1"/>
  <c r="E84" i="16"/>
  <c r="L84" i="16" s="1"/>
  <c r="D84" i="16"/>
  <c r="J84" i="16" s="1"/>
  <c r="E83" i="16"/>
  <c r="L83" i="16" s="1"/>
  <c r="D83" i="16"/>
  <c r="J83" i="16" s="1"/>
  <c r="E78" i="16"/>
  <c r="L78" i="16" s="1"/>
  <c r="D78" i="16"/>
  <c r="J78" i="16" s="1"/>
  <c r="E77" i="16"/>
  <c r="L77" i="16" s="1"/>
  <c r="D77" i="16"/>
  <c r="J77" i="16" s="1"/>
  <c r="E76" i="16"/>
  <c r="L76" i="16" s="1"/>
  <c r="D76" i="16"/>
  <c r="J76" i="16" s="1"/>
  <c r="E75" i="16"/>
  <c r="L75" i="16" s="1"/>
  <c r="D75" i="16"/>
  <c r="J75" i="16" s="1"/>
  <c r="E74" i="16"/>
  <c r="L74" i="16" s="1"/>
  <c r="D74" i="16"/>
  <c r="J74" i="16" s="1"/>
  <c r="E69" i="16"/>
  <c r="L69" i="16" s="1"/>
  <c r="D69" i="16"/>
  <c r="J69" i="16" s="1"/>
  <c r="E68" i="16"/>
  <c r="L68" i="16" s="1"/>
  <c r="D68" i="16"/>
  <c r="J68" i="16" s="1"/>
  <c r="E67" i="16"/>
  <c r="L67" i="16" s="1"/>
  <c r="D67" i="16"/>
  <c r="J67" i="16" s="1"/>
  <c r="E66" i="16"/>
  <c r="L66" i="16" s="1"/>
  <c r="D66" i="16"/>
  <c r="J66" i="16" s="1"/>
  <c r="E65" i="16"/>
  <c r="L65" i="16" s="1"/>
  <c r="D65" i="16"/>
  <c r="J65" i="16" s="1"/>
  <c r="E60" i="16"/>
  <c r="L60" i="16" s="1"/>
  <c r="D60" i="16"/>
  <c r="J60" i="16" s="1"/>
  <c r="E59" i="16"/>
  <c r="L59" i="16" s="1"/>
  <c r="D59" i="16"/>
  <c r="J59" i="16" s="1"/>
  <c r="E58" i="16"/>
  <c r="L58" i="16" s="1"/>
  <c r="D58" i="16"/>
  <c r="J58" i="16" s="1"/>
  <c r="E57" i="16"/>
  <c r="L57" i="16" s="1"/>
  <c r="D57" i="16"/>
  <c r="J57" i="16" s="1"/>
  <c r="E56" i="16"/>
  <c r="L56" i="16" s="1"/>
  <c r="D56" i="16"/>
  <c r="J56" i="16" s="1"/>
  <c r="E47" i="16"/>
  <c r="L47" i="16" s="1"/>
  <c r="D47" i="16"/>
  <c r="J47" i="16" s="1"/>
  <c r="E46" i="16"/>
  <c r="L46" i="16" s="1"/>
  <c r="D46" i="16"/>
  <c r="J46" i="16" s="1"/>
  <c r="E41" i="16"/>
  <c r="L41" i="16" s="1"/>
  <c r="D41" i="16"/>
  <c r="J41" i="16" s="1"/>
  <c r="E40" i="16"/>
  <c r="L40" i="16" s="1"/>
  <c r="D40" i="16"/>
  <c r="J40" i="16" s="1"/>
  <c r="E39" i="16"/>
  <c r="L39" i="16" s="1"/>
  <c r="M37" i="16" s="1"/>
  <c r="D39" i="16"/>
  <c r="J39" i="16" s="1"/>
  <c r="K37" i="16" s="1"/>
  <c r="E32" i="16"/>
  <c r="L32" i="16" s="1"/>
  <c r="D32" i="16"/>
  <c r="J32" i="16" s="1"/>
  <c r="E31" i="16"/>
  <c r="L31" i="16" s="1"/>
  <c r="D31" i="16"/>
  <c r="J31" i="16" s="1"/>
  <c r="E30" i="16"/>
  <c r="L30" i="16" s="1"/>
  <c r="D30" i="16"/>
  <c r="J30" i="16" s="1"/>
  <c r="E29" i="16"/>
  <c r="L29" i="16" s="1"/>
  <c r="D29" i="16"/>
  <c r="J29" i="16" s="1"/>
  <c r="E28" i="16"/>
  <c r="L28" i="16" s="1"/>
  <c r="M28" i="16" s="1"/>
  <c r="D28" i="16"/>
  <c r="J28" i="16" s="1"/>
  <c r="K28" i="16" s="1"/>
  <c r="E23" i="16"/>
  <c r="L23" i="16" s="1"/>
  <c r="D23" i="16"/>
  <c r="J23" i="16" s="1"/>
  <c r="E22" i="16"/>
  <c r="L22" i="16" s="1"/>
  <c r="D22" i="16"/>
  <c r="J22" i="16" s="1"/>
  <c r="E21" i="16"/>
  <c r="L21" i="16" s="1"/>
  <c r="D21" i="16"/>
  <c r="J21" i="16" s="1"/>
  <c r="E20" i="16"/>
  <c r="L20" i="16" s="1"/>
  <c r="D20" i="16"/>
  <c r="J20" i="16" s="1"/>
  <c r="E19" i="16"/>
  <c r="L19" i="16" s="1"/>
  <c r="D19" i="16"/>
  <c r="J19" i="16" s="1"/>
  <c r="E14" i="16"/>
  <c r="L14" i="16" s="1"/>
  <c r="D14" i="16"/>
  <c r="J14" i="16" s="1"/>
  <c r="E13" i="16"/>
  <c r="L13" i="16" s="1"/>
  <c r="D13" i="16"/>
  <c r="J13" i="16" s="1"/>
  <c r="E12" i="16"/>
  <c r="L12" i="16" s="1"/>
  <c r="D12" i="16"/>
  <c r="J12" i="16" s="1"/>
  <c r="E11" i="16"/>
  <c r="L11" i="16" s="1"/>
  <c r="D11" i="16"/>
  <c r="J11" i="16" s="1"/>
  <c r="E10" i="16"/>
  <c r="D10" i="16"/>
  <c r="J10" i="16" s="1"/>
  <c r="K138" i="16" l="1"/>
  <c r="M138" i="16"/>
  <c r="K129" i="16"/>
  <c r="M129" i="16"/>
  <c r="K120" i="16"/>
  <c r="M120" i="16"/>
  <c r="K111" i="16"/>
  <c r="M111" i="16"/>
  <c r="M92" i="16"/>
  <c r="K92" i="16"/>
  <c r="M83" i="16"/>
  <c r="K83" i="16"/>
  <c r="K74" i="16"/>
  <c r="M74" i="16"/>
  <c r="K65" i="16"/>
  <c r="M65" i="16"/>
  <c r="K56" i="16"/>
  <c r="M56" i="16"/>
  <c r="K46" i="16"/>
  <c r="M46" i="16"/>
  <c r="K19" i="16"/>
  <c r="M19" i="16"/>
  <c r="L10" i="16"/>
  <c r="M10" i="16" s="1"/>
  <c r="K10" i="16"/>
</calcChain>
</file>

<file path=xl/sharedStrings.xml><?xml version="1.0" encoding="utf-8"?>
<sst xmlns="http://schemas.openxmlformats.org/spreadsheetml/2006/main" count="290" uniqueCount="46">
  <si>
    <t>Results of Calibration</t>
  </si>
  <si>
    <t>Blank Below</t>
  </si>
  <si>
    <t>以下空白</t>
  </si>
  <si>
    <r>
      <rPr>
        <i/>
        <sz val="11"/>
        <color theme="1"/>
        <rFont val="Times New Roman"/>
        <family val="1"/>
      </rPr>
      <t>U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%FS</t>
    </r>
    <r>
      <rPr>
        <sz val="11"/>
        <color theme="1"/>
        <rFont val="宋体"/>
        <family val="3"/>
        <charset val="134"/>
      </rPr>
      <t>）
（</t>
    </r>
    <r>
      <rPr>
        <i/>
        <sz val="11"/>
        <color theme="1"/>
        <rFont val="Times New Roman"/>
        <family val="1"/>
      </rPr>
      <t>k</t>
    </r>
    <r>
      <rPr>
        <sz val="11"/>
        <color theme="1"/>
        <rFont val="Times New Roman"/>
        <family val="1"/>
      </rPr>
      <t>=2</t>
    </r>
    <r>
      <rPr>
        <sz val="11"/>
        <color theme="1"/>
        <rFont val="宋体"/>
        <family val="3"/>
        <charset val="134"/>
      </rPr>
      <t>）</t>
    </r>
    <phoneticPr fontId="8" type="noConversion"/>
  </si>
  <si>
    <t>CH1</t>
    <phoneticPr fontId="8" type="noConversion"/>
  </si>
  <si>
    <t>CH2</t>
    <phoneticPr fontId="8" type="noConversion"/>
  </si>
  <si>
    <t>CH3</t>
    <phoneticPr fontId="8" type="noConversion"/>
  </si>
  <si>
    <t>CH4</t>
    <phoneticPr fontId="8" type="noConversion"/>
  </si>
  <si>
    <t>CH5</t>
    <phoneticPr fontId="8" type="noConversion"/>
  </si>
  <si>
    <t>CH6</t>
    <phoneticPr fontId="8" type="noConversion"/>
  </si>
  <si>
    <t>CH7</t>
    <phoneticPr fontId="8" type="noConversion"/>
  </si>
  <si>
    <t>CH8</t>
    <phoneticPr fontId="8" type="noConversion"/>
  </si>
  <si>
    <t>CH9</t>
    <phoneticPr fontId="8" type="noConversion"/>
  </si>
  <si>
    <t>CH10</t>
    <phoneticPr fontId="8" type="noConversion"/>
  </si>
  <si>
    <t>CH11</t>
    <phoneticPr fontId="8" type="noConversion"/>
  </si>
  <si>
    <t>CH12</t>
    <phoneticPr fontId="8" type="noConversion"/>
  </si>
  <si>
    <t>CH13</t>
    <phoneticPr fontId="8" type="noConversion"/>
  </si>
  <si>
    <t>CH14</t>
    <phoneticPr fontId="8" type="noConversion"/>
  </si>
  <si>
    <t>CH15</t>
    <phoneticPr fontId="8" type="noConversion"/>
  </si>
  <si>
    <t>CH16</t>
    <phoneticPr fontId="8" type="noConversion"/>
  </si>
  <si>
    <t>校准结果</t>
    <phoneticPr fontId="8" type="noConversion"/>
  </si>
  <si>
    <t>结果分析</t>
    <phoneticPr fontId="8" type="noConversion"/>
  </si>
  <si>
    <t>max</t>
    <phoneticPr fontId="8" type="noConversion"/>
  </si>
  <si>
    <t>psi</t>
    <phoneticPr fontId="8" type="noConversion"/>
  </si>
  <si>
    <t>Results analysis</t>
    <phoneticPr fontId="8" type="noConversion"/>
  </si>
  <si>
    <t>证书编号：</t>
    <phoneticPr fontId="8" type="noConversion"/>
  </si>
  <si>
    <t>Certificate No.</t>
    <phoneticPr fontId="8" type="noConversion"/>
  </si>
  <si>
    <t>Channel number</t>
  </si>
  <si>
    <t>Standard pressure</t>
  </si>
  <si>
    <t>Device display value</t>
  </si>
  <si>
    <t>Forward stroke</t>
  </si>
  <si>
    <t>Backward stroke</t>
  </si>
  <si>
    <t>Indication error</t>
  </si>
  <si>
    <t>Return error</t>
  </si>
  <si>
    <t>Unit</t>
  </si>
  <si>
    <t>Equipment Number</t>
  </si>
  <si>
    <t>Accuracy</t>
    <phoneticPr fontId="8" type="noConversion"/>
  </si>
  <si>
    <t>Calibration Date</t>
    <phoneticPr fontId="8" type="noConversion"/>
  </si>
  <si>
    <t>Min(Range)</t>
    <phoneticPr fontId="8" type="noConversion"/>
  </si>
  <si>
    <t>Max(Range)</t>
    <phoneticPr fontId="8" type="noConversion"/>
  </si>
  <si>
    <t>Unqualified</t>
    <phoneticPr fontId="8" type="noConversion"/>
  </si>
  <si>
    <t>Example</t>
    <phoneticPr fontId="8" type="noConversion"/>
  </si>
  <si>
    <t>丨Indication error丨
/FS</t>
  </si>
  <si>
    <t>丨Return error丨
/FS</t>
  </si>
  <si>
    <t>Notes</t>
  </si>
  <si>
    <t>Qualified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</si>
</sst>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"/>
    <numFmt numFmtId="177" formatCode="0.000"/>
    <numFmt numFmtId="178" formatCode="0.000_ "/>
    <numFmt numFmtId="179" formatCode="0.000%"/>
    <numFmt numFmtId="180" formatCode="0.0000"/>
  </numFmts>
  <fonts count="19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2"/>
      <color theme="1"/>
      <name val="宋体"/>
      <family val="3"/>
      <charset val="134"/>
    </font>
    <font>
      <sz val="10"/>
      <color theme="1"/>
      <name val="Times New Roman"/>
      <family val="1"/>
    </font>
    <font>
      <sz val="20"/>
      <color theme="1"/>
      <name val="黑体"/>
      <family val="3"/>
      <charset val="134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1"/>
      <charset val="134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20"/>
      <color theme="1"/>
      <name val="Times New Roman"/>
      <family val="1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1"/>
      <charset val="134"/>
    </font>
    <font>
      <b/>
      <sz val="11"/>
      <color theme="1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>
      <alignment vertical="center"/>
    </xf>
    <xf numFmtId="0" fontId="9" fillId="0" borderId="0"/>
    <xf numFmtId="0" fontId="10" fillId="0" borderId="0">
      <alignment vertical="center"/>
    </xf>
    <xf numFmtId="0" fontId="2" fillId="0" borderId="0"/>
    <xf numFmtId="0" fontId="1" fillId="0" borderId="0"/>
    <xf numFmtId="9" fontId="16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0" fontId="6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4" fillId="0" borderId="0" xfId="2" applyFont="1" applyAlignment="1">
      <alignment horizontal="right" vertical="top"/>
    </xf>
    <xf numFmtId="0" fontId="13" fillId="0" borderId="8" xfId="2" applyFont="1" applyBorder="1" applyAlignment="1" applyProtection="1">
      <alignment vertical="center" wrapText="1"/>
      <protection locked="0"/>
    </xf>
    <xf numFmtId="0" fontId="6" fillId="0" borderId="8" xfId="2" applyFont="1" applyBorder="1" applyAlignment="1" applyProtection="1">
      <alignment horizontal="center" vertical="center" wrapText="1"/>
      <protection locked="0"/>
    </xf>
    <xf numFmtId="0" fontId="6" fillId="0" borderId="0" xfId="2" applyFont="1" applyProtection="1">
      <alignment vertical="center"/>
      <protection locked="0"/>
    </xf>
    <xf numFmtId="0" fontId="4" fillId="0" borderId="0" xfId="2" applyFont="1" applyAlignment="1" applyProtection="1">
      <alignment horizontal="center" vertical="center"/>
      <protection locked="0"/>
    </xf>
    <xf numFmtId="0" fontId="6" fillId="2" borderId="1" xfId="2" applyFont="1" applyFill="1" applyBorder="1" applyAlignment="1" applyProtection="1">
      <alignment horizontal="center" vertical="center" wrapText="1"/>
      <protection locked="0"/>
    </xf>
    <xf numFmtId="177" fontId="6" fillId="0" borderId="1" xfId="2" applyNumberFormat="1" applyFont="1" applyBorder="1" applyAlignment="1" applyProtection="1">
      <alignment horizontal="center" vertical="center"/>
      <protection locked="0"/>
    </xf>
    <xf numFmtId="178" fontId="6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13" fillId="0" borderId="8" xfId="2" applyFont="1" applyBorder="1" applyAlignment="1" applyProtection="1">
      <alignment horizontal="center" vertical="center" wrapText="1"/>
      <protection locked="0"/>
    </xf>
    <xf numFmtId="0" fontId="17" fillId="0" borderId="8" xfId="2" applyFont="1" applyBorder="1" applyAlignment="1" applyProtection="1">
      <alignment horizontal="center" vertical="center" wrapText="1"/>
      <protection locked="0"/>
    </xf>
    <xf numFmtId="0" fontId="6" fillId="0" borderId="0" xfId="2" applyFont="1" applyAlignment="1" applyProtection="1">
      <alignment horizontal="center" vertical="center" wrapText="1"/>
      <protection locked="0"/>
    </xf>
    <xf numFmtId="179" fontId="6" fillId="0" borderId="1" xfId="5" applyNumberFormat="1" applyFont="1" applyBorder="1" applyAlignment="1" applyProtection="1">
      <alignment horizontal="center" vertical="center"/>
      <protection locked="0"/>
    </xf>
    <xf numFmtId="0" fontId="5" fillId="0" borderId="0" xfId="2" applyFont="1" applyAlignment="1">
      <alignment horizontal="center" vertical="center"/>
    </xf>
    <xf numFmtId="0" fontId="11" fillId="0" borderId="1" xfId="2" applyFont="1" applyBorder="1" applyAlignment="1" applyProtection="1">
      <alignment horizontal="center" vertical="center"/>
      <protection locked="0"/>
    </xf>
    <xf numFmtId="0" fontId="6" fillId="0" borderId="1" xfId="2" applyFont="1" applyBorder="1" applyAlignment="1" applyProtection="1">
      <alignment horizontal="center" vertical="center"/>
      <protection locked="0"/>
    </xf>
    <xf numFmtId="0" fontId="13" fillId="0" borderId="0" xfId="2" applyFont="1" applyAlignment="1" applyProtection="1">
      <alignment horizontal="center" vertical="center" wrapText="1"/>
      <protection locked="0"/>
    </xf>
    <xf numFmtId="0" fontId="11" fillId="0" borderId="1" xfId="2" applyFont="1" applyBorder="1" applyAlignment="1">
      <alignment horizontal="center" vertical="center" wrapText="1"/>
    </xf>
    <xf numFmtId="31" fontId="11" fillId="0" borderId="1" xfId="2" applyNumberFormat="1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18" fillId="0" borderId="1" xfId="2" applyFont="1" applyBorder="1" applyAlignment="1" applyProtection="1">
      <alignment horizontal="center" vertical="center" wrapText="1"/>
      <protection locked="0"/>
    </xf>
    <xf numFmtId="180" fontId="4" fillId="0" borderId="1" xfId="0" applyNumberFormat="1" applyFont="1" applyBorder="1" applyAlignment="1">
      <alignment horizontal="center" vertical="center"/>
    </xf>
    <xf numFmtId="180" fontId="4" fillId="0" borderId="1" xfId="2" applyNumberFormat="1" applyFont="1" applyBorder="1" applyAlignment="1" applyProtection="1">
      <alignment horizontal="center" vertical="center"/>
      <protection locked="0"/>
    </xf>
    <xf numFmtId="180" fontId="6" fillId="0" borderId="1" xfId="2" applyNumberFormat="1" applyFont="1" applyBorder="1" applyAlignment="1" applyProtection="1">
      <alignment horizontal="center" vertical="center" wrapText="1"/>
      <protection locked="0"/>
    </xf>
    <xf numFmtId="180" fontId="6" fillId="0" borderId="1" xfId="2" applyNumberFormat="1" applyFont="1" applyBorder="1" applyAlignment="1" applyProtection="1">
      <alignment horizontal="center" vertical="center"/>
      <protection locked="0"/>
    </xf>
    <xf numFmtId="0" fontId="3" fillId="0" borderId="0" xfId="2" applyFont="1" applyAlignment="1">
      <alignment horizontal="right" vertical="center"/>
    </xf>
    <xf numFmtId="180" fontId="4" fillId="0" borderId="0" xfId="0" applyNumberFormat="1" applyFont="1" applyAlignment="1">
      <alignment horizontal="center" vertical="center"/>
    </xf>
    <xf numFmtId="180" fontId="4" fillId="0" borderId="0" xfId="2" applyNumberFormat="1" applyFont="1" applyAlignment="1" applyProtection="1">
      <alignment horizontal="center" vertical="center"/>
      <protection locked="0"/>
    </xf>
    <xf numFmtId="180" fontId="6" fillId="0" borderId="0" xfId="2" applyNumberFormat="1" applyFont="1" applyAlignment="1" applyProtection="1">
      <alignment horizontal="center" vertical="center" wrapText="1"/>
      <protection locked="0"/>
    </xf>
    <xf numFmtId="178" fontId="6" fillId="2" borderId="0" xfId="2" applyNumberFormat="1" applyFont="1" applyFill="1" applyAlignment="1" applyProtection="1">
      <alignment horizontal="center" vertical="center" wrapText="1"/>
      <protection locked="0"/>
    </xf>
    <xf numFmtId="180" fontId="6" fillId="0" borderId="0" xfId="2" applyNumberFormat="1" applyFont="1" applyAlignment="1" applyProtection="1">
      <alignment horizontal="center" vertical="center"/>
      <protection locked="0"/>
    </xf>
    <xf numFmtId="179" fontId="6" fillId="0" borderId="0" xfId="5" applyNumberFormat="1" applyFont="1" applyBorder="1" applyAlignment="1" applyProtection="1">
      <alignment horizontal="center" vertical="center"/>
      <protection locked="0"/>
    </xf>
    <xf numFmtId="0" fontId="6" fillId="0" borderId="0" xfId="2" applyFont="1" applyAlignment="1" applyProtection="1">
      <alignment horizontal="center" vertical="center"/>
      <protection locked="0"/>
    </xf>
    <xf numFmtId="179" fontId="6" fillId="2" borderId="0" xfId="5" applyNumberFormat="1" applyFont="1" applyFill="1" applyBorder="1" applyAlignment="1" applyProtection="1">
      <alignment horizontal="center" vertical="center"/>
      <protection locked="0"/>
    </xf>
    <xf numFmtId="176" fontId="6" fillId="0" borderId="3" xfId="2" applyNumberFormat="1" applyFont="1" applyBorder="1" applyAlignment="1" applyProtection="1">
      <alignment horizontal="center" vertical="center"/>
      <protection locked="0"/>
    </xf>
    <xf numFmtId="176" fontId="11" fillId="0" borderId="2" xfId="2" applyNumberFormat="1" applyFont="1" applyBorder="1" applyAlignment="1" applyProtection="1">
      <alignment horizontal="center" vertical="center"/>
      <protection locked="0"/>
    </xf>
    <xf numFmtId="0" fontId="11" fillId="0" borderId="1" xfId="2" applyFont="1" applyBorder="1" applyAlignment="1" applyProtection="1">
      <alignment horizontal="center" vertical="center"/>
      <protection locked="0"/>
    </xf>
    <xf numFmtId="0" fontId="6" fillId="0" borderId="1" xfId="2" applyFont="1" applyBorder="1" applyAlignment="1" applyProtection="1">
      <alignment horizontal="center" vertical="center"/>
      <protection locked="0"/>
    </xf>
    <xf numFmtId="0" fontId="11" fillId="0" borderId="1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11" fillId="0" borderId="1" xfId="2" applyFont="1" applyBorder="1" applyAlignment="1" applyProtection="1">
      <alignment horizontal="center" vertical="center" wrapText="1"/>
      <protection locked="0"/>
    </xf>
    <xf numFmtId="179" fontId="6" fillId="0" borderId="2" xfId="5" applyNumberFormat="1" applyFont="1" applyBorder="1" applyAlignment="1" applyProtection="1">
      <alignment horizontal="center" vertical="center"/>
      <protection locked="0"/>
    </xf>
    <xf numFmtId="179" fontId="6" fillId="0" borderId="11" xfId="5" applyNumberFormat="1" applyFont="1" applyBorder="1" applyAlignment="1" applyProtection="1">
      <alignment horizontal="center" vertical="center"/>
      <protection locked="0"/>
    </xf>
    <xf numFmtId="179" fontId="6" fillId="0" borderId="3" xfId="5" applyNumberFormat="1" applyFont="1" applyBorder="1" applyAlignment="1" applyProtection="1">
      <alignment horizontal="center" vertical="center"/>
      <protection locked="0"/>
    </xf>
    <xf numFmtId="176" fontId="11" fillId="0" borderId="10" xfId="2" applyNumberFormat="1" applyFont="1" applyBorder="1" applyAlignment="1" applyProtection="1">
      <alignment horizontal="center" vertical="center" wrapText="1"/>
      <protection locked="0"/>
    </xf>
    <xf numFmtId="176" fontId="11" fillId="0" borderId="1" xfId="2" applyNumberFormat="1" applyFont="1" applyBorder="1" applyAlignment="1" applyProtection="1">
      <alignment horizontal="center" vertical="center" wrapText="1"/>
      <protection locked="0"/>
    </xf>
    <xf numFmtId="176" fontId="6" fillId="0" borderId="1" xfId="2" applyNumberFormat="1" applyFont="1" applyBorder="1" applyAlignment="1" applyProtection="1">
      <alignment horizontal="center" vertical="center"/>
      <protection locked="0"/>
    </xf>
    <xf numFmtId="0" fontId="5" fillId="0" borderId="0" xfId="2" applyFont="1" applyAlignment="1">
      <alignment horizontal="center" vertical="center"/>
    </xf>
    <xf numFmtId="180" fontId="6" fillId="0" borderId="1" xfId="2" applyNumberFormat="1" applyFont="1" applyBorder="1" applyAlignment="1" applyProtection="1">
      <alignment horizontal="center" vertical="center" wrapText="1"/>
      <protection locked="0"/>
    </xf>
    <xf numFmtId="176" fontId="6" fillId="2" borderId="3" xfId="2" applyNumberFormat="1" applyFont="1" applyFill="1" applyBorder="1" applyAlignment="1" applyProtection="1">
      <alignment horizontal="center" vertical="center" wrapText="1"/>
      <protection locked="0"/>
    </xf>
    <xf numFmtId="176" fontId="6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6" fillId="0" borderId="8" xfId="2" applyFont="1" applyBorder="1" applyAlignment="1" applyProtection="1">
      <alignment horizontal="center" vertical="center" wrapText="1"/>
      <protection locked="0"/>
    </xf>
    <xf numFmtId="180" fontId="6" fillId="0" borderId="9" xfId="2" applyNumberFormat="1" applyFont="1" applyBorder="1" applyAlignment="1" applyProtection="1">
      <alignment horizontal="center" vertical="center" wrapText="1"/>
      <protection locked="0"/>
    </xf>
    <xf numFmtId="180" fontId="6" fillId="0" borderId="10" xfId="2" applyNumberFormat="1" applyFont="1" applyBorder="1" applyAlignment="1" applyProtection="1">
      <alignment horizontal="center" vertical="center" wrapText="1"/>
      <protection locked="0"/>
    </xf>
    <xf numFmtId="0" fontId="6" fillId="0" borderId="0" xfId="2" applyFont="1" applyAlignment="1">
      <alignment horizontal="center" vertical="center"/>
    </xf>
    <xf numFmtId="176" fontId="7" fillId="0" borderId="6" xfId="2" applyNumberFormat="1" applyFont="1" applyBorder="1" applyAlignment="1" applyProtection="1">
      <alignment horizontal="center" vertical="center" wrapText="1"/>
      <protection locked="0"/>
    </xf>
    <xf numFmtId="176" fontId="6" fillId="0" borderId="4" xfId="2" applyNumberFormat="1" applyFont="1" applyBorder="1" applyAlignment="1" applyProtection="1">
      <alignment horizontal="center" vertical="center" wrapText="1"/>
      <protection locked="0"/>
    </xf>
    <xf numFmtId="176" fontId="6" fillId="0" borderId="7" xfId="2" applyNumberFormat="1" applyFont="1" applyBorder="1" applyAlignment="1" applyProtection="1">
      <alignment horizontal="center" vertical="center" wrapText="1"/>
      <protection locked="0"/>
    </xf>
    <xf numFmtId="176" fontId="6" fillId="0" borderId="5" xfId="2" applyNumberFormat="1" applyFont="1" applyBorder="1" applyAlignment="1" applyProtection="1">
      <alignment horizontal="center" vertical="center" wrapText="1"/>
      <protection locked="0"/>
    </xf>
    <xf numFmtId="0" fontId="7" fillId="2" borderId="3" xfId="2" applyFont="1" applyFill="1" applyBorder="1" applyAlignment="1" applyProtection="1">
      <alignment horizontal="center" vertical="center" wrapText="1"/>
      <protection locked="0"/>
    </xf>
    <xf numFmtId="0" fontId="6" fillId="2" borderId="1" xfId="2" applyFont="1" applyFill="1" applyBorder="1" applyAlignment="1" applyProtection="1">
      <alignment horizontal="center" vertical="center" wrapText="1"/>
      <protection locked="0"/>
    </xf>
    <xf numFmtId="0" fontId="6" fillId="2" borderId="3" xfId="2" applyFont="1" applyFill="1" applyBorder="1" applyAlignment="1" applyProtection="1">
      <alignment horizontal="center" vertical="center" wrapText="1"/>
      <protection locked="0"/>
    </xf>
    <xf numFmtId="176" fontId="7" fillId="0" borderId="3" xfId="2" applyNumberFormat="1" applyFont="1" applyBorder="1" applyAlignment="1" applyProtection="1">
      <alignment horizontal="center" vertical="center" wrapText="1"/>
      <protection locked="0"/>
    </xf>
    <xf numFmtId="176" fontId="6" fillId="0" borderId="1" xfId="2" applyNumberFormat="1" applyFont="1" applyBorder="1" applyAlignment="1" applyProtection="1">
      <alignment horizontal="center" vertical="center" wrapText="1"/>
      <protection locked="0"/>
    </xf>
    <xf numFmtId="0" fontId="7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7" fillId="2" borderId="2" xfId="2" applyFont="1" applyFill="1" applyBorder="1" applyAlignment="1" applyProtection="1">
      <alignment horizontal="center" vertical="center" wrapText="1"/>
      <protection locked="0"/>
    </xf>
    <xf numFmtId="0" fontId="7" fillId="2" borderId="9" xfId="2" applyFont="1" applyFill="1" applyBorder="1" applyAlignment="1" applyProtection="1">
      <alignment horizontal="center" vertical="center" wrapText="1"/>
      <protection locked="0"/>
    </xf>
    <xf numFmtId="0" fontId="7" fillId="2" borderId="10" xfId="2" applyFont="1" applyFill="1" applyBorder="1" applyAlignment="1" applyProtection="1">
      <alignment horizontal="center" vertical="center" wrapText="1"/>
      <protection locked="0"/>
    </xf>
    <xf numFmtId="176" fontId="7" fillId="0" borderId="2" xfId="2" applyNumberFormat="1" applyFont="1" applyBorder="1" applyAlignment="1" applyProtection="1">
      <alignment horizontal="center" vertical="center" wrapText="1"/>
      <protection locked="0"/>
    </xf>
    <xf numFmtId="176" fontId="7" fillId="0" borderId="4" xfId="2" applyNumberFormat="1" applyFont="1" applyBorder="1" applyAlignment="1" applyProtection="1">
      <alignment horizontal="center" vertical="center" wrapText="1"/>
      <protection locked="0"/>
    </xf>
    <xf numFmtId="176" fontId="7" fillId="0" borderId="7" xfId="2" applyNumberFormat="1" applyFont="1" applyBorder="1" applyAlignment="1" applyProtection="1">
      <alignment horizontal="center" vertical="center" wrapText="1"/>
      <protection locked="0"/>
    </xf>
    <xf numFmtId="176" fontId="7" fillId="0" borderId="5" xfId="2" applyNumberFormat="1" applyFont="1" applyBorder="1" applyAlignment="1" applyProtection="1">
      <alignment horizontal="center" vertical="center" wrapText="1"/>
      <protection locked="0"/>
    </xf>
    <xf numFmtId="0" fontId="6" fillId="0" borderId="0" xfId="2" applyFont="1" applyAlignment="1">
      <alignment horizontal="left" vertical="center"/>
    </xf>
    <xf numFmtId="176" fontId="6" fillId="2" borderId="2" xfId="2" applyNumberFormat="1" applyFont="1" applyFill="1" applyBorder="1" applyAlignment="1" applyProtection="1">
      <alignment horizontal="center" vertical="center" wrapText="1"/>
      <protection locked="0"/>
    </xf>
    <xf numFmtId="0" fontId="15" fillId="0" borderId="8" xfId="2" applyFont="1" applyBorder="1" applyAlignment="1" applyProtection="1">
      <alignment horizontal="center" vertical="center" wrapText="1"/>
      <protection locked="0"/>
    </xf>
    <xf numFmtId="0" fontId="7" fillId="2" borderId="1" xfId="2" applyFont="1" applyFill="1" applyBorder="1" applyAlignment="1" applyProtection="1">
      <alignment horizontal="center" vertical="center" wrapText="1"/>
      <protection locked="0"/>
    </xf>
    <xf numFmtId="177" fontId="7" fillId="0" borderId="1" xfId="2" applyNumberFormat="1" applyFont="1" applyBorder="1" applyAlignment="1" applyProtection="1">
      <alignment horizontal="center" vertical="center"/>
      <protection locked="0"/>
    </xf>
  </cellXfs>
  <cellStyles count="6">
    <cellStyle name="百分比" xfId="5" builtinId="5"/>
    <cellStyle name="常规" xfId="0" builtinId="0"/>
    <cellStyle name="常规 2" xfId="1"/>
    <cellStyle name="常规 3" xfId="2"/>
    <cellStyle name="常规 4" xfId="3"/>
    <cellStyle name="常规 5" xfId="4"/>
  </cellStyles>
  <dxfs count="6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153</xdr:row>
      <xdr:rowOff>171450</xdr:rowOff>
    </xdr:from>
    <xdr:to>
      <xdr:col>3</xdr:col>
      <xdr:colOff>949325</xdr:colOff>
      <xdr:row>153</xdr:row>
      <xdr:rowOff>171450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9F8146C1-93A6-4748-BE50-C843E1297C21}"/>
            </a:ext>
          </a:extLst>
        </xdr:cNvPr>
        <xdr:cNvCxnSpPr/>
      </xdr:nvCxnSpPr>
      <xdr:spPr>
        <a:xfrm>
          <a:off x="2040255" y="37799010"/>
          <a:ext cx="19265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6"/>
  <sheetViews>
    <sheetView tabSelected="1" topLeftCell="C1" workbookViewId="0">
      <selection activeCell="O6" sqref="O6"/>
    </sheetView>
  </sheetViews>
  <sheetFormatPr defaultColWidth="9" defaultRowHeight="15" x14ac:dyDescent="0.15"/>
  <cols>
    <col min="1" max="4" width="14.625" style="1" customWidth="1"/>
    <col min="5" max="5" width="7.875" style="1" customWidth="1"/>
    <col min="6" max="6" width="6.5" style="1" customWidth="1"/>
    <col min="7" max="7" width="14.625" style="1" customWidth="1"/>
    <col min="8" max="8" width="3.75" style="1" customWidth="1"/>
    <col min="9" max="9" width="14.375" style="1" customWidth="1"/>
    <col min="10" max="10" width="13.625" style="1" customWidth="1"/>
    <col min="11" max="11" width="13.125" style="1" customWidth="1"/>
    <col min="12" max="12" width="13.25" style="1" customWidth="1"/>
    <col min="13" max="13" width="14.25" style="1" customWidth="1"/>
    <col min="14" max="14" width="13.5" style="1" customWidth="1"/>
    <col min="15" max="15" width="7.625" style="1" customWidth="1"/>
    <col min="16" max="16384" width="9" style="1"/>
  </cols>
  <sheetData>
    <row r="1" spans="1:15" ht="26.45" customHeight="1" x14ac:dyDescent="0.15">
      <c r="E1" s="27" t="s">
        <v>25</v>
      </c>
      <c r="F1" s="76"/>
      <c r="G1" s="76"/>
      <c r="L1" s="40" t="s">
        <v>41</v>
      </c>
      <c r="M1" s="19" t="s">
        <v>40</v>
      </c>
      <c r="N1" s="19" t="s">
        <v>45</v>
      </c>
    </row>
    <row r="2" spans="1:15" ht="15" customHeight="1" x14ac:dyDescent="0.15">
      <c r="E2" s="3" t="s">
        <v>26</v>
      </c>
      <c r="F2" s="3"/>
      <c r="L2" s="41"/>
      <c r="M2" s="14">
        <v>5.4000000000000001E-4</v>
      </c>
      <c r="N2" s="14">
        <v>1E-4</v>
      </c>
    </row>
    <row r="3" spans="1:15" ht="23.1" customHeight="1" x14ac:dyDescent="0.15">
      <c r="A3" s="49" t="s">
        <v>20</v>
      </c>
      <c r="B3" s="67"/>
      <c r="C3" s="67"/>
      <c r="D3" s="67"/>
      <c r="E3" s="67"/>
      <c r="F3" s="67"/>
      <c r="G3" s="67"/>
      <c r="I3" s="49" t="s">
        <v>21</v>
      </c>
      <c r="J3" s="49"/>
      <c r="K3" s="49"/>
      <c r="L3" s="49"/>
      <c r="M3" s="49"/>
      <c r="N3" s="15"/>
      <c r="O3" s="15"/>
    </row>
    <row r="4" spans="1:15" ht="11.1" customHeight="1" x14ac:dyDescent="0.15">
      <c r="A4" s="68" t="s">
        <v>0</v>
      </c>
      <c r="B4" s="68"/>
      <c r="C4" s="68"/>
      <c r="D4" s="68"/>
      <c r="E4" s="68"/>
      <c r="F4" s="68"/>
      <c r="G4" s="68"/>
      <c r="I4" s="56" t="s">
        <v>24</v>
      </c>
      <c r="J4" s="56"/>
      <c r="K4" s="56"/>
      <c r="L4" s="56"/>
      <c r="M4" s="56"/>
    </row>
    <row r="5" spans="1:15" ht="30.75" customHeight="1" x14ac:dyDescent="0.15">
      <c r="A5" s="2"/>
      <c r="B5" s="2"/>
      <c r="C5" s="2"/>
      <c r="D5" s="2"/>
      <c r="E5" s="2"/>
      <c r="F5" s="2"/>
      <c r="G5" s="2"/>
      <c r="I5" s="22" t="s">
        <v>35</v>
      </c>
      <c r="J5" s="21"/>
      <c r="K5" s="22" t="s">
        <v>37</v>
      </c>
      <c r="L5" s="20"/>
      <c r="M5" s="22" t="s">
        <v>34</v>
      </c>
      <c r="N5" s="21" t="s">
        <v>23</v>
      </c>
    </row>
    <row r="6" spans="1:15" s="6" customFormat="1" ht="15" customHeight="1" x14ac:dyDescent="0.15">
      <c r="A6" s="7"/>
      <c r="B6" s="7"/>
      <c r="C6" s="7"/>
      <c r="D6" s="7"/>
      <c r="E6" s="7"/>
      <c r="F6" s="7"/>
      <c r="G6" s="7"/>
      <c r="I6" s="22" t="s">
        <v>36</v>
      </c>
      <c r="J6" s="17">
        <v>0.05</v>
      </c>
      <c r="K6" s="22" t="s">
        <v>38</v>
      </c>
      <c r="L6" s="16">
        <v>0</v>
      </c>
      <c r="M6" s="22" t="s">
        <v>39</v>
      </c>
      <c r="N6" s="17">
        <v>100</v>
      </c>
    </row>
    <row r="7" spans="1:15" s="6" customFormat="1" ht="18.600000000000001" customHeight="1" x14ac:dyDescent="0.15">
      <c r="A7" s="78" t="s">
        <v>27</v>
      </c>
      <c r="B7" s="5" t="s">
        <v>4</v>
      </c>
      <c r="C7" s="11"/>
      <c r="D7" s="12" t="s">
        <v>34</v>
      </c>
      <c r="E7" s="53" t="str">
        <f>$N$5</f>
        <v>psi</v>
      </c>
      <c r="F7" s="53"/>
      <c r="G7" s="4"/>
      <c r="I7" s="18" t="s">
        <v>27</v>
      </c>
      <c r="J7" s="13" t="str">
        <f>B7</f>
        <v>CH1</v>
      </c>
      <c r="L7" s="12"/>
      <c r="M7" s="5"/>
      <c r="N7" s="13"/>
    </row>
    <row r="8" spans="1:15" s="6" customFormat="1" ht="15" customHeight="1" x14ac:dyDescent="0.15">
      <c r="A8" s="69" t="s">
        <v>28</v>
      </c>
      <c r="B8" s="61" t="s">
        <v>29</v>
      </c>
      <c r="C8" s="63"/>
      <c r="D8" s="64" t="s">
        <v>32</v>
      </c>
      <c r="E8" s="57" t="s">
        <v>33</v>
      </c>
      <c r="F8" s="58"/>
      <c r="G8" s="51" t="s">
        <v>3</v>
      </c>
      <c r="I8" s="37" t="s">
        <v>28</v>
      </c>
      <c r="J8" s="46" t="s">
        <v>42</v>
      </c>
      <c r="K8" s="48" t="s">
        <v>22</v>
      </c>
      <c r="L8" s="42" t="s">
        <v>43</v>
      </c>
      <c r="M8" s="39" t="s">
        <v>22</v>
      </c>
      <c r="N8" s="38" t="s">
        <v>44</v>
      </c>
    </row>
    <row r="9" spans="1:15" s="6" customFormat="1" x14ac:dyDescent="0.15">
      <c r="A9" s="61"/>
      <c r="B9" s="79" t="s">
        <v>30</v>
      </c>
      <c r="C9" s="80" t="s">
        <v>31</v>
      </c>
      <c r="D9" s="65"/>
      <c r="E9" s="59"/>
      <c r="F9" s="60"/>
      <c r="G9" s="52"/>
      <c r="I9" s="36" t="str">
        <f>"（"&amp;$N$5&amp;"）"</f>
        <v>（psi）</v>
      </c>
      <c r="J9" s="47"/>
      <c r="K9" s="48"/>
      <c r="L9" s="42"/>
      <c r="M9" s="39"/>
      <c r="N9" s="39"/>
    </row>
    <row r="10" spans="1:15" s="6" customFormat="1" x14ac:dyDescent="0.15">
      <c r="A10" s="23">
        <v>0</v>
      </c>
      <c r="B10" s="23">
        <v>0</v>
      </c>
      <c r="C10" s="24">
        <v>0</v>
      </c>
      <c r="D10" s="25">
        <f>IF(ABS(B10-A10)&gt;ABS(C10-A10),B10-A10,C10-A10)</f>
        <v>0</v>
      </c>
      <c r="E10" s="50">
        <f>ABS(B10-C10)</f>
        <v>0</v>
      </c>
      <c r="F10" s="50"/>
      <c r="G10" s="10">
        <v>1.2999999999999999E-2</v>
      </c>
      <c r="I10" s="26">
        <f t="shared" ref="I10:I14" si="0">A10</f>
        <v>0</v>
      </c>
      <c r="J10" s="14">
        <f>ABS(D10)/($N$6-$L$6)</f>
        <v>0</v>
      </c>
      <c r="K10" s="43">
        <f>MAX(J10:J14)</f>
        <v>0</v>
      </c>
      <c r="L10" s="14">
        <f>ABS(E10)/($N$6-$L$6)</f>
        <v>0</v>
      </c>
      <c r="M10" s="43">
        <f>MAX(L10:L14)</f>
        <v>0</v>
      </c>
      <c r="N10" s="39"/>
    </row>
    <row r="11" spans="1:15" s="6" customFormat="1" x14ac:dyDescent="0.15">
      <c r="A11" s="23">
        <v>0</v>
      </c>
      <c r="B11" s="23">
        <v>0</v>
      </c>
      <c r="C11" s="24">
        <v>0</v>
      </c>
      <c r="D11" s="25">
        <f t="shared" ref="D11:D14" si="1">IF(ABS(B11-A11)&gt;ABS(C11-A11),B11-A11,C11-A11)</f>
        <v>0</v>
      </c>
      <c r="E11" s="50">
        <f t="shared" ref="E11:E14" si="2">ABS(B11-C11)</f>
        <v>0</v>
      </c>
      <c r="F11" s="50"/>
      <c r="G11" s="10">
        <v>1.2999999999999999E-2</v>
      </c>
      <c r="I11" s="26">
        <f t="shared" si="0"/>
        <v>0</v>
      </c>
      <c r="J11" s="14">
        <f t="shared" ref="J11:J14" si="3">ABS(D11)/($N$6-$L$6)</f>
        <v>0</v>
      </c>
      <c r="K11" s="44"/>
      <c r="L11" s="14">
        <f t="shared" ref="L11:L14" si="4">ABS(E11)/($N$6-$L$6)</f>
        <v>0</v>
      </c>
      <c r="M11" s="44"/>
      <c r="N11" s="39"/>
    </row>
    <row r="12" spans="1:15" s="6" customFormat="1" x14ac:dyDescent="0.15">
      <c r="A12" s="23">
        <v>0</v>
      </c>
      <c r="B12" s="23">
        <v>0</v>
      </c>
      <c r="C12" s="24">
        <v>0</v>
      </c>
      <c r="D12" s="25">
        <f t="shared" si="1"/>
        <v>0</v>
      </c>
      <c r="E12" s="50">
        <f t="shared" si="2"/>
        <v>0</v>
      </c>
      <c r="F12" s="50"/>
      <c r="G12" s="10">
        <v>1.2999999999999999E-2</v>
      </c>
      <c r="I12" s="26">
        <f t="shared" si="0"/>
        <v>0</v>
      </c>
      <c r="J12" s="14">
        <f t="shared" si="3"/>
        <v>0</v>
      </c>
      <c r="K12" s="44"/>
      <c r="L12" s="14">
        <f t="shared" si="4"/>
        <v>0</v>
      </c>
      <c r="M12" s="44"/>
      <c r="N12" s="39"/>
    </row>
    <row r="13" spans="1:15" s="6" customFormat="1" x14ac:dyDescent="0.15">
      <c r="A13" s="23">
        <v>0</v>
      </c>
      <c r="B13" s="23">
        <v>0</v>
      </c>
      <c r="C13" s="24">
        <v>0</v>
      </c>
      <c r="D13" s="25">
        <f t="shared" si="1"/>
        <v>0</v>
      </c>
      <c r="E13" s="50">
        <f t="shared" si="2"/>
        <v>0</v>
      </c>
      <c r="F13" s="50"/>
      <c r="G13" s="10">
        <v>1.2999999999999999E-2</v>
      </c>
      <c r="I13" s="26">
        <f t="shared" si="0"/>
        <v>0</v>
      </c>
      <c r="J13" s="14">
        <f t="shared" si="3"/>
        <v>0</v>
      </c>
      <c r="K13" s="44"/>
      <c r="L13" s="14">
        <f t="shared" si="4"/>
        <v>0</v>
      </c>
      <c r="M13" s="44"/>
      <c r="N13" s="39"/>
    </row>
    <row r="14" spans="1:15" s="6" customFormat="1" x14ac:dyDescent="0.15">
      <c r="A14" s="23">
        <v>0</v>
      </c>
      <c r="B14" s="23">
        <v>0</v>
      </c>
      <c r="C14" s="24">
        <v>0</v>
      </c>
      <c r="D14" s="25">
        <f t="shared" si="1"/>
        <v>0</v>
      </c>
      <c r="E14" s="50">
        <f t="shared" si="2"/>
        <v>0</v>
      </c>
      <c r="F14" s="50"/>
      <c r="G14" s="10">
        <v>1.2999999999999999E-2</v>
      </c>
      <c r="I14" s="26">
        <f t="shared" si="0"/>
        <v>0</v>
      </c>
      <c r="J14" s="14">
        <f t="shared" si="3"/>
        <v>0</v>
      </c>
      <c r="K14" s="45"/>
      <c r="L14" s="14">
        <f t="shared" si="4"/>
        <v>0</v>
      </c>
      <c r="M14" s="45"/>
      <c r="N14" s="39"/>
    </row>
    <row r="15" spans="1:15" ht="8.25" customHeight="1" x14ac:dyDescent="0.15"/>
    <row r="16" spans="1:15" x14ac:dyDescent="0.15">
      <c r="A16" s="11" t="s">
        <v>27</v>
      </c>
      <c r="B16" s="5" t="s">
        <v>5</v>
      </c>
      <c r="C16" s="11"/>
      <c r="D16" s="12" t="s">
        <v>34</v>
      </c>
      <c r="E16" s="53" t="str">
        <f>$N$5</f>
        <v>psi</v>
      </c>
      <c r="F16" s="53"/>
      <c r="G16" s="4"/>
      <c r="I16" s="18" t="s">
        <v>27</v>
      </c>
      <c r="J16" s="13" t="str">
        <f>B16</f>
        <v>CH2</v>
      </c>
      <c r="K16" s="6"/>
      <c r="L16" s="12"/>
      <c r="M16" s="5"/>
      <c r="N16" s="13"/>
    </row>
    <row r="17" spans="1:14" ht="15" customHeight="1" x14ac:dyDescent="0.15">
      <c r="A17" s="61" t="s">
        <v>28</v>
      </c>
      <c r="B17" s="61" t="s">
        <v>29</v>
      </c>
      <c r="C17" s="63"/>
      <c r="D17" s="64" t="s">
        <v>32</v>
      </c>
      <c r="E17" s="57" t="s">
        <v>33</v>
      </c>
      <c r="F17" s="58"/>
      <c r="G17" s="51" t="s">
        <v>3</v>
      </c>
      <c r="I17" s="37" t="s">
        <v>28</v>
      </c>
      <c r="J17" s="46" t="s">
        <v>42</v>
      </c>
      <c r="K17" s="48" t="s">
        <v>22</v>
      </c>
      <c r="L17" s="42" t="s">
        <v>43</v>
      </c>
      <c r="M17" s="39" t="s">
        <v>22</v>
      </c>
      <c r="N17" s="38" t="s">
        <v>44</v>
      </c>
    </row>
    <row r="18" spans="1:14" x14ac:dyDescent="0.15">
      <c r="A18" s="62"/>
      <c r="B18" s="8" t="s">
        <v>30</v>
      </c>
      <c r="C18" s="9" t="s">
        <v>31</v>
      </c>
      <c r="D18" s="65"/>
      <c r="E18" s="59"/>
      <c r="F18" s="60"/>
      <c r="G18" s="52"/>
      <c r="I18" s="36" t="str">
        <f>"（"&amp;$N$5&amp;"）"</f>
        <v>（psi）</v>
      </c>
      <c r="J18" s="47"/>
      <c r="K18" s="48"/>
      <c r="L18" s="42"/>
      <c r="M18" s="39"/>
      <c r="N18" s="39"/>
    </row>
    <row r="19" spans="1:14" x14ac:dyDescent="0.15">
      <c r="A19" s="23">
        <v>0</v>
      </c>
      <c r="B19" s="23">
        <v>0</v>
      </c>
      <c r="C19" s="24">
        <v>0</v>
      </c>
      <c r="D19" s="25">
        <f>IF(ABS(B19-A19)&gt;ABS(C19-A19),B19-A19,C19-A19)</f>
        <v>0</v>
      </c>
      <c r="E19" s="50">
        <f>ABS(B19-C19)</f>
        <v>0</v>
      </c>
      <c r="F19" s="50"/>
      <c r="G19" s="10">
        <v>1.2999999999999999E-2</v>
      </c>
      <c r="I19" s="26">
        <f t="shared" ref="I19:I23" si="5">A19</f>
        <v>0</v>
      </c>
      <c r="J19" s="14">
        <f>ABS(D19)/($N$6-$L$6)</f>
        <v>0</v>
      </c>
      <c r="K19" s="43">
        <f>MAX(J19:J23)</f>
        <v>0</v>
      </c>
      <c r="L19" s="14">
        <f>ABS(E19)/($N$6-$L$6)</f>
        <v>0</v>
      </c>
      <c r="M19" s="43">
        <f>MAX(L19:L23)</f>
        <v>0</v>
      </c>
      <c r="N19" s="39"/>
    </row>
    <row r="20" spans="1:14" x14ac:dyDescent="0.15">
      <c r="A20" s="23">
        <v>0</v>
      </c>
      <c r="B20" s="23">
        <v>0</v>
      </c>
      <c r="C20" s="24">
        <v>0</v>
      </c>
      <c r="D20" s="25">
        <f t="shared" ref="D20:D23" si="6">IF(ABS(B20-A20)&gt;ABS(C20-A20),B20-A20,C20-A20)</f>
        <v>0</v>
      </c>
      <c r="E20" s="50">
        <f t="shared" ref="E20:E23" si="7">ABS(B20-C20)</f>
        <v>0</v>
      </c>
      <c r="F20" s="50"/>
      <c r="G20" s="10">
        <v>1.2999999999999999E-2</v>
      </c>
      <c r="I20" s="26">
        <f t="shared" si="5"/>
        <v>0</v>
      </c>
      <c r="J20" s="14">
        <f t="shared" ref="J20:J23" si="8">ABS(D20)/($N$6-$L$6)</f>
        <v>0</v>
      </c>
      <c r="K20" s="44"/>
      <c r="L20" s="14">
        <f t="shared" ref="L20:L23" si="9">ABS(E20)/($N$6-$L$6)</f>
        <v>0</v>
      </c>
      <c r="M20" s="44"/>
      <c r="N20" s="39"/>
    </row>
    <row r="21" spans="1:14" x14ac:dyDescent="0.15">
      <c r="A21" s="23">
        <v>0</v>
      </c>
      <c r="B21" s="23">
        <v>0</v>
      </c>
      <c r="C21" s="24">
        <v>0</v>
      </c>
      <c r="D21" s="25">
        <f t="shared" si="6"/>
        <v>0</v>
      </c>
      <c r="E21" s="50">
        <f t="shared" si="7"/>
        <v>0</v>
      </c>
      <c r="F21" s="50"/>
      <c r="G21" s="10">
        <v>1.2999999999999999E-2</v>
      </c>
      <c r="I21" s="26">
        <f t="shared" si="5"/>
        <v>0</v>
      </c>
      <c r="J21" s="14">
        <f t="shared" si="8"/>
        <v>0</v>
      </c>
      <c r="K21" s="44"/>
      <c r="L21" s="14">
        <f t="shared" si="9"/>
        <v>0</v>
      </c>
      <c r="M21" s="44"/>
      <c r="N21" s="39"/>
    </row>
    <row r="22" spans="1:14" x14ac:dyDescent="0.15">
      <c r="A22" s="23">
        <v>0</v>
      </c>
      <c r="B22" s="23">
        <v>0</v>
      </c>
      <c r="C22" s="24">
        <v>0</v>
      </c>
      <c r="D22" s="25">
        <f t="shared" si="6"/>
        <v>0</v>
      </c>
      <c r="E22" s="50">
        <f t="shared" si="7"/>
        <v>0</v>
      </c>
      <c r="F22" s="50"/>
      <c r="G22" s="10">
        <v>1.2999999999999999E-2</v>
      </c>
      <c r="I22" s="26">
        <f t="shared" si="5"/>
        <v>0</v>
      </c>
      <c r="J22" s="14">
        <f t="shared" si="8"/>
        <v>0</v>
      </c>
      <c r="K22" s="44"/>
      <c r="L22" s="14">
        <f t="shared" si="9"/>
        <v>0</v>
      </c>
      <c r="M22" s="44"/>
      <c r="N22" s="39"/>
    </row>
    <row r="23" spans="1:14" x14ac:dyDescent="0.15">
      <c r="A23" s="23">
        <v>0</v>
      </c>
      <c r="B23" s="23">
        <v>0</v>
      </c>
      <c r="C23" s="24">
        <v>0</v>
      </c>
      <c r="D23" s="25">
        <f t="shared" si="6"/>
        <v>0</v>
      </c>
      <c r="E23" s="50">
        <f t="shared" si="7"/>
        <v>0</v>
      </c>
      <c r="F23" s="50"/>
      <c r="G23" s="10">
        <v>1.2999999999999999E-2</v>
      </c>
      <c r="I23" s="26">
        <f t="shared" si="5"/>
        <v>0</v>
      </c>
      <c r="J23" s="14">
        <f t="shared" si="8"/>
        <v>0</v>
      </c>
      <c r="K23" s="45"/>
      <c r="L23" s="14">
        <f t="shared" si="9"/>
        <v>0</v>
      </c>
      <c r="M23" s="45"/>
      <c r="N23" s="39"/>
    </row>
    <row r="24" spans="1:14" ht="7.5" customHeight="1" x14ac:dyDescent="0.15"/>
    <row r="25" spans="1:14" x14ac:dyDescent="0.15">
      <c r="A25" s="11" t="s">
        <v>27</v>
      </c>
      <c r="B25" s="5" t="s">
        <v>6</v>
      </c>
      <c r="C25" s="11"/>
      <c r="D25" s="12" t="s">
        <v>34</v>
      </c>
      <c r="E25" s="53" t="str">
        <f>$N$5</f>
        <v>psi</v>
      </c>
      <c r="F25" s="53"/>
      <c r="G25" s="4"/>
      <c r="I25" s="18" t="s">
        <v>27</v>
      </c>
      <c r="J25" s="13" t="str">
        <f>B25</f>
        <v>CH3</v>
      </c>
      <c r="K25" s="6"/>
      <c r="L25" s="12"/>
      <c r="M25" s="5"/>
      <c r="N25" s="13"/>
    </row>
    <row r="26" spans="1:14" ht="15" customHeight="1" x14ac:dyDescent="0.15">
      <c r="A26" s="69" t="s">
        <v>28</v>
      </c>
      <c r="B26" s="70" t="s">
        <v>29</v>
      </c>
      <c r="C26" s="71"/>
      <c r="D26" s="72" t="s">
        <v>32</v>
      </c>
      <c r="E26" s="57" t="s">
        <v>33</v>
      </c>
      <c r="F26" s="73"/>
      <c r="G26" s="77" t="s">
        <v>3</v>
      </c>
      <c r="I26" s="37" t="s">
        <v>28</v>
      </c>
      <c r="J26" s="46" t="s">
        <v>42</v>
      </c>
      <c r="K26" s="48" t="s">
        <v>22</v>
      </c>
      <c r="L26" s="42" t="s">
        <v>43</v>
      </c>
      <c r="M26" s="39" t="s">
        <v>22</v>
      </c>
      <c r="N26" s="38" t="s">
        <v>44</v>
      </c>
    </row>
    <row r="27" spans="1:14" x14ac:dyDescent="0.15">
      <c r="A27" s="61"/>
      <c r="B27" s="8" t="s">
        <v>30</v>
      </c>
      <c r="C27" s="9" t="s">
        <v>31</v>
      </c>
      <c r="D27" s="64"/>
      <c r="E27" s="74"/>
      <c r="F27" s="75"/>
      <c r="G27" s="51"/>
      <c r="I27" s="36" t="str">
        <f>"（"&amp;$N$5&amp;"）"</f>
        <v>（psi）</v>
      </c>
      <c r="J27" s="47"/>
      <c r="K27" s="48"/>
      <c r="L27" s="42"/>
      <c r="M27" s="39"/>
      <c r="N27" s="39"/>
    </row>
    <row r="28" spans="1:14" x14ac:dyDescent="0.15">
      <c r="A28" s="23">
        <v>0</v>
      </c>
      <c r="B28" s="23">
        <v>0</v>
      </c>
      <c r="C28" s="24">
        <v>0</v>
      </c>
      <c r="D28" s="25">
        <f>IF(ABS(B28-A28)&gt;ABS(C28-A28),B28-A28,C28-A28)</f>
        <v>0</v>
      </c>
      <c r="E28" s="50">
        <f>ABS(B28-C28)</f>
        <v>0</v>
      </c>
      <c r="F28" s="50"/>
      <c r="G28" s="10">
        <v>1.2999999999999999E-2</v>
      </c>
      <c r="I28" s="26">
        <f t="shared" ref="I28:I32" si="10">A28</f>
        <v>0</v>
      </c>
      <c r="J28" s="14">
        <f>ABS(D28)/($N$6-$L$6)</f>
        <v>0</v>
      </c>
      <c r="K28" s="43">
        <f>MAX(J28:J32)</f>
        <v>0</v>
      </c>
      <c r="L28" s="14">
        <f>ABS(E28)/($N$6-$L$6)</f>
        <v>0</v>
      </c>
      <c r="M28" s="43">
        <f>MAX(L28:L32)</f>
        <v>0</v>
      </c>
      <c r="N28" s="39"/>
    </row>
    <row r="29" spans="1:14" x14ac:dyDescent="0.15">
      <c r="A29" s="23">
        <v>0</v>
      </c>
      <c r="B29" s="23">
        <v>0</v>
      </c>
      <c r="C29" s="24">
        <v>0</v>
      </c>
      <c r="D29" s="25">
        <f t="shared" ref="D29:D32" si="11">IF(ABS(B29-A29)&gt;ABS(C29-A29),B29-A29,C29-A29)</f>
        <v>0</v>
      </c>
      <c r="E29" s="50">
        <f t="shared" ref="E29:E32" si="12">ABS(B29-C29)</f>
        <v>0</v>
      </c>
      <c r="F29" s="50"/>
      <c r="G29" s="10">
        <v>1.2999999999999999E-2</v>
      </c>
      <c r="I29" s="26">
        <f t="shared" si="10"/>
        <v>0</v>
      </c>
      <c r="J29" s="14">
        <f t="shared" ref="J29:J32" si="13">ABS(D29)/($N$6-$L$6)</f>
        <v>0</v>
      </c>
      <c r="K29" s="44"/>
      <c r="L29" s="14">
        <f t="shared" ref="L29:L32" si="14">ABS(E29)/($N$6-$L$6)</f>
        <v>0</v>
      </c>
      <c r="M29" s="44"/>
      <c r="N29" s="39"/>
    </row>
    <row r="30" spans="1:14" x14ac:dyDescent="0.15">
      <c r="A30" s="23">
        <v>0</v>
      </c>
      <c r="B30" s="23">
        <v>0</v>
      </c>
      <c r="C30" s="24">
        <v>0</v>
      </c>
      <c r="D30" s="25">
        <f t="shared" si="11"/>
        <v>0</v>
      </c>
      <c r="E30" s="50">
        <f t="shared" si="12"/>
        <v>0</v>
      </c>
      <c r="F30" s="50"/>
      <c r="G30" s="10">
        <v>1.2999999999999999E-2</v>
      </c>
      <c r="I30" s="26">
        <f t="shared" si="10"/>
        <v>0</v>
      </c>
      <c r="J30" s="14">
        <f t="shared" si="13"/>
        <v>0</v>
      </c>
      <c r="K30" s="44"/>
      <c r="L30" s="14">
        <f t="shared" si="14"/>
        <v>0</v>
      </c>
      <c r="M30" s="44"/>
      <c r="N30" s="39"/>
    </row>
    <row r="31" spans="1:14" x14ac:dyDescent="0.15">
      <c r="A31" s="23">
        <v>0</v>
      </c>
      <c r="B31" s="23">
        <v>0</v>
      </c>
      <c r="C31" s="24">
        <v>0</v>
      </c>
      <c r="D31" s="25">
        <f t="shared" si="11"/>
        <v>0</v>
      </c>
      <c r="E31" s="50">
        <f t="shared" si="12"/>
        <v>0</v>
      </c>
      <c r="F31" s="50"/>
      <c r="G31" s="10">
        <v>1.2999999999999999E-2</v>
      </c>
      <c r="I31" s="26">
        <f t="shared" si="10"/>
        <v>0</v>
      </c>
      <c r="J31" s="14">
        <f t="shared" si="13"/>
        <v>0</v>
      </c>
      <c r="K31" s="44"/>
      <c r="L31" s="14">
        <f t="shared" si="14"/>
        <v>0</v>
      </c>
      <c r="M31" s="44"/>
      <c r="N31" s="39"/>
    </row>
    <row r="32" spans="1:14" x14ac:dyDescent="0.15">
      <c r="A32" s="23">
        <v>0</v>
      </c>
      <c r="B32" s="23">
        <v>0</v>
      </c>
      <c r="C32" s="24">
        <v>0</v>
      </c>
      <c r="D32" s="25">
        <f t="shared" si="11"/>
        <v>0</v>
      </c>
      <c r="E32" s="50">
        <f t="shared" si="12"/>
        <v>0</v>
      </c>
      <c r="F32" s="50"/>
      <c r="G32" s="10">
        <v>1.2999999999999999E-2</v>
      </c>
      <c r="I32" s="26">
        <f t="shared" si="10"/>
        <v>0</v>
      </c>
      <c r="J32" s="14">
        <f t="shared" si="13"/>
        <v>0</v>
      </c>
      <c r="K32" s="45"/>
      <c r="L32" s="14">
        <f t="shared" si="14"/>
        <v>0</v>
      </c>
      <c r="M32" s="45"/>
      <c r="N32" s="39"/>
    </row>
    <row r="33" spans="1:14" ht="7.5" customHeight="1" x14ac:dyDescent="0.15"/>
    <row r="34" spans="1:14" x14ac:dyDescent="0.15">
      <c r="A34" s="11" t="s">
        <v>27</v>
      </c>
      <c r="B34" s="5" t="s">
        <v>7</v>
      </c>
      <c r="C34" s="11"/>
      <c r="D34" s="12" t="s">
        <v>34</v>
      </c>
      <c r="E34" s="53" t="str">
        <f>$N$5</f>
        <v>psi</v>
      </c>
      <c r="F34" s="53"/>
      <c r="G34" s="4"/>
      <c r="I34" s="18" t="s">
        <v>27</v>
      </c>
      <c r="J34" s="13" t="str">
        <f>B34</f>
        <v>CH4</v>
      </c>
      <c r="K34" s="6"/>
      <c r="L34" s="12"/>
      <c r="M34" s="5"/>
      <c r="N34" s="13"/>
    </row>
    <row r="35" spans="1:14" ht="15" customHeight="1" x14ac:dyDescent="0.15">
      <c r="A35" s="61" t="s">
        <v>28</v>
      </c>
      <c r="B35" s="61" t="s">
        <v>29</v>
      </c>
      <c r="C35" s="63"/>
      <c r="D35" s="64" t="s">
        <v>32</v>
      </c>
      <c r="E35" s="57" t="s">
        <v>33</v>
      </c>
      <c r="F35" s="58"/>
      <c r="G35" s="51" t="s">
        <v>3</v>
      </c>
      <c r="I35" s="37" t="s">
        <v>28</v>
      </c>
      <c r="J35" s="46" t="s">
        <v>42</v>
      </c>
      <c r="K35" s="48" t="s">
        <v>22</v>
      </c>
      <c r="L35" s="42" t="s">
        <v>43</v>
      </c>
      <c r="M35" s="39" t="s">
        <v>22</v>
      </c>
      <c r="N35" s="38" t="s">
        <v>44</v>
      </c>
    </row>
    <row r="36" spans="1:14" x14ac:dyDescent="0.15">
      <c r="A36" s="62"/>
      <c r="B36" s="8" t="s">
        <v>30</v>
      </c>
      <c r="C36" s="9" t="s">
        <v>31</v>
      </c>
      <c r="D36" s="65"/>
      <c r="E36" s="59"/>
      <c r="F36" s="60"/>
      <c r="G36" s="52"/>
      <c r="I36" s="36" t="str">
        <f>"（"&amp;$N$5&amp;"）"</f>
        <v>（psi）</v>
      </c>
      <c r="J36" s="47"/>
      <c r="K36" s="48"/>
      <c r="L36" s="42"/>
      <c r="M36" s="39"/>
      <c r="N36" s="39"/>
    </row>
    <row r="37" spans="1:14" x14ac:dyDescent="0.15">
      <c r="A37" s="23">
        <v>0</v>
      </c>
      <c r="B37" s="23">
        <v>0</v>
      </c>
      <c r="C37" s="24">
        <v>0</v>
      </c>
      <c r="D37" s="25">
        <f>IF(ABS(B37-A37)&gt;ABS(C37-A37),B37-A37,C37-A37)</f>
        <v>0</v>
      </c>
      <c r="E37" s="54">
        <f>ABS(B37-C37)</f>
        <v>0</v>
      </c>
      <c r="F37" s="55"/>
      <c r="G37" s="10">
        <v>1.2999999999999999E-2</v>
      </c>
      <c r="I37" s="26">
        <f t="shared" ref="I37:I41" si="15">A37</f>
        <v>0</v>
      </c>
      <c r="J37" s="14">
        <f>ABS(D37)/($N$6-$L$6)</f>
        <v>0</v>
      </c>
      <c r="K37" s="43">
        <f>MAX(J37:J41)</f>
        <v>0</v>
      </c>
      <c r="L37" s="14">
        <f>ABS(E37)/($N$6-$L$6)</f>
        <v>0</v>
      </c>
      <c r="M37" s="43">
        <f>MAX(L37:L41)</f>
        <v>0</v>
      </c>
      <c r="N37" s="39"/>
    </row>
    <row r="38" spans="1:14" x14ac:dyDescent="0.15">
      <c r="A38" s="23">
        <v>0</v>
      </c>
      <c r="B38" s="23">
        <v>0</v>
      </c>
      <c r="C38" s="24">
        <v>0</v>
      </c>
      <c r="D38" s="25">
        <f t="shared" ref="D38:D41" si="16">IF(ABS(B38-A38)&gt;ABS(C38-A38),B38-A38,C38-A38)</f>
        <v>0</v>
      </c>
      <c r="E38" s="54">
        <f t="shared" ref="E38:E41" si="17">ABS(B38-C38)</f>
        <v>0</v>
      </c>
      <c r="F38" s="55"/>
      <c r="G38" s="10">
        <v>1.2999999999999999E-2</v>
      </c>
      <c r="I38" s="26">
        <f t="shared" si="15"/>
        <v>0</v>
      </c>
      <c r="J38" s="14">
        <f t="shared" ref="J38:J41" si="18">ABS(D38)/($N$6-$L$6)</f>
        <v>0</v>
      </c>
      <c r="K38" s="44"/>
      <c r="L38" s="14">
        <f t="shared" ref="L38:L41" si="19">ABS(E38)/($N$6-$L$6)</f>
        <v>0</v>
      </c>
      <c r="M38" s="44"/>
      <c r="N38" s="39"/>
    </row>
    <row r="39" spans="1:14" x14ac:dyDescent="0.15">
      <c r="A39" s="23">
        <v>0</v>
      </c>
      <c r="B39" s="23">
        <v>0</v>
      </c>
      <c r="C39" s="24">
        <v>0</v>
      </c>
      <c r="D39" s="25">
        <f t="shared" si="16"/>
        <v>0</v>
      </c>
      <c r="E39" s="50">
        <f t="shared" si="17"/>
        <v>0</v>
      </c>
      <c r="F39" s="50"/>
      <c r="G39" s="10">
        <v>1.2999999999999999E-2</v>
      </c>
      <c r="I39" s="26">
        <f t="shared" si="15"/>
        <v>0</v>
      </c>
      <c r="J39" s="14">
        <f t="shared" si="18"/>
        <v>0</v>
      </c>
      <c r="K39" s="44"/>
      <c r="L39" s="14">
        <f t="shared" si="19"/>
        <v>0</v>
      </c>
      <c r="M39" s="44"/>
      <c r="N39" s="39"/>
    </row>
    <row r="40" spans="1:14" x14ac:dyDescent="0.15">
      <c r="A40" s="23">
        <v>0</v>
      </c>
      <c r="B40" s="23">
        <v>0</v>
      </c>
      <c r="C40" s="24">
        <v>0</v>
      </c>
      <c r="D40" s="25">
        <f t="shared" si="16"/>
        <v>0</v>
      </c>
      <c r="E40" s="50">
        <f t="shared" si="17"/>
        <v>0</v>
      </c>
      <c r="F40" s="50"/>
      <c r="G40" s="10">
        <v>1.2999999999999999E-2</v>
      </c>
      <c r="I40" s="26">
        <f t="shared" si="15"/>
        <v>0</v>
      </c>
      <c r="J40" s="14">
        <f t="shared" si="18"/>
        <v>0</v>
      </c>
      <c r="K40" s="44"/>
      <c r="L40" s="14">
        <f t="shared" si="19"/>
        <v>0</v>
      </c>
      <c r="M40" s="44"/>
      <c r="N40" s="39"/>
    </row>
    <row r="41" spans="1:14" x14ac:dyDescent="0.15">
      <c r="A41" s="23">
        <v>0</v>
      </c>
      <c r="B41" s="23">
        <v>0</v>
      </c>
      <c r="C41" s="24">
        <v>0</v>
      </c>
      <c r="D41" s="25">
        <f t="shared" si="16"/>
        <v>0</v>
      </c>
      <c r="E41" s="50">
        <f t="shared" si="17"/>
        <v>0</v>
      </c>
      <c r="F41" s="50"/>
      <c r="G41" s="10">
        <v>1.2999999999999999E-2</v>
      </c>
      <c r="I41" s="26">
        <f t="shared" si="15"/>
        <v>0</v>
      </c>
      <c r="J41" s="14">
        <f t="shared" si="18"/>
        <v>0</v>
      </c>
      <c r="K41" s="45"/>
      <c r="L41" s="14">
        <f t="shared" si="19"/>
        <v>0</v>
      </c>
      <c r="M41" s="45"/>
      <c r="N41" s="39"/>
    </row>
    <row r="42" spans="1:14" ht="7.5" customHeight="1" x14ac:dyDescent="0.15">
      <c r="A42" s="28"/>
      <c r="B42" s="28"/>
      <c r="C42" s="29"/>
      <c r="D42" s="30"/>
      <c r="E42" s="30"/>
      <c r="F42" s="30"/>
      <c r="G42" s="31"/>
      <c r="I42" s="32"/>
      <c r="J42" s="33"/>
      <c r="K42" s="33"/>
      <c r="L42" s="33"/>
      <c r="M42" s="33"/>
      <c r="N42" s="34"/>
    </row>
    <row r="43" spans="1:14" x14ac:dyDescent="0.15">
      <c r="A43" s="11" t="s">
        <v>27</v>
      </c>
      <c r="B43" s="5" t="s">
        <v>8</v>
      </c>
      <c r="C43" s="11"/>
      <c r="D43" s="12" t="s">
        <v>34</v>
      </c>
      <c r="E43" s="53" t="str">
        <f>$N$5</f>
        <v>psi</v>
      </c>
      <c r="F43" s="53"/>
      <c r="G43" s="4"/>
      <c r="I43" s="18" t="s">
        <v>27</v>
      </c>
      <c r="J43" s="13" t="str">
        <f>B43</f>
        <v>CH5</v>
      </c>
      <c r="K43" s="6"/>
      <c r="L43" s="12"/>
      <c r="M43" s="5"/>
      <c r="N43" s="13"/>
    </row>
    <row r="44" spans="1:14" ht="15" customHeight="1" x14ac:dyDescent="0.15">
      <c r="A44" s="61" t="s">
        <v>28</v>
      </c>
      <c r="B44" s="61" t="s">
        <v>29</v>
      </c>
      <c r="C44" s="63"/>
      <c r="D44" s="64" t="s">
        <v>32</v>
      </c>
      <c r="E44" s="57" t="s">
        <v>33</v>
      </c>
      <c r="F44" s="58"/>
      <c r="G44" s="51" t="s">
        <v>3</v>
      </c>
      <c r="I44" s="37" t="s">
        <v>28</v>
      </c>
      <c r="J44" s="46" t="s">
        <v>42</v>
      </c>
      <c r="K44" s="48" t="s">
        <v>22</v>
      </c>
      <c r="L44" s="42" t="s">
        <v>43</v>
      </c>
      <c r="M44" s="39" t="s">
        <v>22</v>
      </c>
      <c r="N44" s="38" t="s">
        <v>44</v>
      </c>
    </row>
    <row r="45" spans="1:14" x14ac:dyDescent="0.15">
      <c r="A45" s="62"/>
      <c r="B45" s="8" t="s">
        <v>30</v>
      </c>
      <c r="C45" s="9" t="s">
        <v>31</v>
      </c>
      <c r="D45" s="65"/>
      <c r="E45" s="59"/>
      <c r="F45" s="60"/>
      <c r="G45" s="52"/>
      <c r="I45" s="36" t="str">
        <f>"（"&amp;$N$5&amp;"）"</f>
        <v>（psi）</v>
      </c>
      <c r="J45" s="47"/>
      <c r="K45" s="48"/>
      <c r="L45" s="42"/>
      <c r="M45" s="39"/>
      <c r="N45" s="39"/>
    </row>
    <row r="46" spans="1:14" x14ac:dyDescent="0.15">
      <c r="A46" s="23">
        <v>0</v>
      </c>
      <c r="B46" s="23">
        <v>0</v>
      </c>
      <c r="C46" s="24">
        <v>0</v>
      </c>
      <c r="D46" s="25">
        <f>IF(ABS(B46-A46)&gt;ABS(C46-A46),B46-A46,C46-A46)</f>
        <v>0</v>
      </c>
      <c r="E46" s="50">
        <f>ABS(B46-C46)</f>
        <v>0</v>
      </c>
      <c r="F46" s="50"/>
      <c r="G46" s="10">
        <v>1.2999999999999999E-2</v>
      </c>
      <c r="I46" s="26">
        <f t="shared" ref="I46:I50" si="20">A46</f>
        <v>0</v>
      </c>
      <c r="J46" s="14">
        <f>ABS(D46)/($N$6-$L$6)</f>
        <v>0</v>
      </c>
      <c r="K46" s="43">
        <f>MAX(J46:J50)</f>
        <v>0</v>
      </c>
      <c r="L46" s="14">
        <f>ABS(E46)/($N$6-$L$6)</f>
        <v>0</v>
      </c>
      <c r="M46" s="43">
        <f>MAX(L46:L50)</f>
        <v>0</v>
      </c>
      <c r="N46" s="39"/>
    </row>
    <row r="47" spans="1:14" x14ac:dyDescent="0.15">
      <c r="A47" s="23">
        <v>0</v>
      </c>
      <c r="B47" s="23">
        <v>0</v>
      </c>
      <c r="C47" s="24">
        <v>0</v>
      </c>
      <c r="D47" s="25">
        <f t="shared" ref="D47:D50" si="21">IF(ABS(B47-A47)&gt;ABS(C47-A47),B47-A47,C47-A47)</f>
        <v>0</v>
      </c>
      <c r="E47" s="50">
        <f t="shared" ref="E47:E50" si="22">ABS(B47-C47)</f>
        <v>0</v>
      </c>
      <c r="F47" s="50"/>
      <c r="G47" s="10">
        <v>1.2999999999999999E-2</v>
      </c>
      <c r="I47" s="26">
        <f t="shared" si="20"/>
        <v>0</v>
      </c>
      <c r="J47" s="14">
        <f t="shared" ref="J47:J50" si="23">ABS(D47)/($N$6-$L$6)</f>
        <v>0</v>
      </c>
      <c r="K47" s="44"/>
      <c r="L47" s="14">
        <f t="shared" ref="L47:L50" si="24">ABS(E47)/($N$6-$L$6)</f>
        <v>0</v>
      </c>
      <c r="M47" s="44"/>
      <c r="N47" s="39"/>
    </row>
    <row r="48" spans="1:14" x14ac:dyDescent="0.15">
      <c r="A48" s="23">
        <v>0</v>
      </c>
      <c r="B48" s="23">
        <v>0</v>
      </c>
      <c r="C48" s="24">
        <v>0</v>
      </c>
      <c r="D48" s="25">
        <f t="shared" si="21"/>
        <v>0</v>
      </c>
      <c r="E48" s="54">
        <f t="shared" si="22"/>
        <v>0</v>
      </c>
      <c r="F48" s="55"/>
      <c r="G48" s="10">
        <v>1.2999999999999999E-2</v>
      </c>
      <c r="I48" s="26">
        <f t="shared" si="20"/>
        <v>0</v>
      </c>
      <c r="J48" s="14">
        <f t="shared" si="23"/>
        <v>0</v>
      </c>
      <c r="K48" s="44"/>
      <c r="L48" s="14">
        <f t="shared" si="24"/>
        <v>0</v>
      </c>
      <c r="M48" s="44"/>
      <c r="N48" s="39"/>
    </row>
    <row r="49" spans="1:14" x14ac:dyDescent="0.15">
      <c r="A49" s="23">
        <v>0</v>
      </c>
      <c r="B49" s="23">
        <v>0</v>
      </c>
      <c r="C49" s="24">
        <v>0</v>
      </c>
      <c r="D49" s="25">
        <f t="shared" si="21"/>
        <v>0</v>
      </c>
      <c r="E49" s="54">
        <f t="shared" si="22"/>
        <v>0</v>
      </c>
      <c r="F49" s="55"/>
      <c r="G49" s="10">
        <v>1.2999999999999999E-2</v>
      </c>
      <c r="I49" s="26">
        <f t="shared" si="20"/>
        <v>0</v>
      </c>
      <c r="J49" s="14">
        <f t="shared" si="23"/>
        <v>0</v>
      </c>
      <c r="K49" s="44"/>
      <c r="L49" s="14">
        <f t="shared" si="24"/>
        <v>0</v>
      </c>
      <c r="M49" s="44"/>
      <c r="N49" s="39"/>
    </row>
    <row r="50" spans="1:14" x14ac:dyDescent="0.15">
      <c r="A50" s="23">
        <v>0</v>
      </c>
      <c r="B50" s="23">
        <v>0</v>
      </c>
      <c r="C50" s="24">
        <v>0</v>
      </c>
      <c r="D50" s="25">
        <f t="shared" si="21"/>
        <v>0</v>
      </c>
      <c r="E50" s="54">
        <f t="shared" si="22"/>
        <v>0</v>
      </c>
      <c r="F50" s="55"/>
      <c r="G50" s="10">
        <v>1.2999999999999999E-2</v>
      </c>
      <c r="I50" s="26">
        <f t="shared" si="20"/>
        <v>0</v>
      </c>
      <c r="J50" s="14">
        <f t="shared" si="23"/>
        <v>0</v>
      </c>
      <c r="K50" s="45"/>
      <c r="L50" s="14">
        <f t="shared" si="24"/>
        <v>0</v>
      </c>
      <c r="M50" s="45"/>
      <c r="N50" s="39"/>
    </row>
    <row r="51" spans="1:14" x14ac:dyDescent="0.15">
      <c r="A51" s="28"/>
      <c r="B51" s="28"/>
      <c r="C51" s="29"/>
      <c r="D51" s="30"/>
      <c r="E51" s="30"/>
      <c r="F51" s="30"/>
      <c r="G51" s="31"/>
      <c r="I51" s="32"/>
      <c r="J51" s="33"/>
      <c r="K51" s="33"/>
      <c r="L51" s="33"/>
      <c r="M51" s="33"/>
      <c r="N51" s="34"/>
    </row>
    <row r="52" spans="1:14" x14ac:dyDescent="0.15">
      <c r="A52" s="28"/>
      <c r="B52" s="28"/>
      <c r="C52" s="29"/>
      <c r="D52" s="30"/>
      <c r="E52" s="30"/>
      <c r="F52" s="30"/>
      <c r="G52" s="31"/>
      <c r="I52" s="32"/>
      <c r="J52" s="33"/>
      <c r="K52" s="33"/>
      <c r="L52" s="33"/>
      <c r="M52" s="33"/>
      <c r="N52" s="34"/>
    </row>
    <row r="53" spans="1:14" x14ac:dyDescent="0.15">
      <c r="A53" s="11" t="s">
        <v>27</v>
      </c>
      <c r="B53" s="5" t="s">
        <v>9</v>
      </c>
      <c r="C53" s="11"/>
      <c r="D53" s="12" t="s">
        <v>34</v>
      </c>
      <c r="E53" s="53" t="str">
        <f>$N$5</f>
        <v>psi</v>
      </c>
      <c r="F53" s="53"/>
      <c r="G53" s="4"/>
      <c r="I53" s="18" t="s">
        <v>27</v>
      </c>
      <c r="J53" s="13" t="str">
        <f>B53</f>
        <v>CH6</v>
      </c>
      <c r="K53" s="6"/>
      <c r="L53" s="12"/>
      <c r="M53" s="5"/>
      <c r="N53" s="13"/>
    </row>
    <row r="54" spans="1:14" ht="15" customHeight="1" x14ac:dyDescent="0.15">
      <c r="A54" s="61" t="s">
        <v>28</v>
      </c>
      <c r="B54" s="61" t="s">
        <v>29</v>
      </c>
      <c r="C54" s="63"/>
      <c r="D54" s="64" t="s">
        <v>32</v>
      </c>
      <c r="E54" s="57" t="s">
        <v>33</v>
      </c>
      <c r="F54" s="58"/>
      <c r="G54" s="51" t="s">
        <v>3</v>
      </c>
      <c r="I54" s="37" t="s">
        <v>28</v>
      </c>
      <c r="J54" s="46" t="s">
        <v>42</v>
      </c>
      <c r="K54" s="48" t="s">
        <v>22</v>
      </c>
      <c r="L54" s="42" t="s">
        <v>43</v>
      </c>
      <c r="M54" s="39" t="s">
        <v>22</v>
      </c>
      <c r="N54" s="38" t="s">
        <v>44</v>
      </c>
    </row>
    <row r="55" spans="1:14" x14ac:dyDescent="0.15">
      <c r="A55" s="62"/>
      <c r="B55" s="8" t="s">
        <v>30</v>
      </c>
      <c r="C55" s="9" t="s">
        <v>31</v>
      </c>
      <c r="D55" s="65"/>
      <c r="E55" s="59"/>
      <c r="F55" s="60"/>
      <c r="G55" s="52"/>
      <c r="I55" s="36" t="str">
        <f>"（"&amp;$N$5&amp;"）"</f>
        <v>（psi）</v>
      </c>
      <c r="J55" s="47"/>
      <c r="K55" s="48"/>
      <c r="L55" s="42"/>
      <c r="M55" s="39"/>
      <c r="N55" s="39"/>
    </row>
    <row r="56" spans="1:14" x14ac:dyDescent="0.15">
      <c r="A56" s="23">
        <v>0</v>
      </c>
      <c r="B56" s="23">
        <v>0</v>
      </c>
      <c r="C56" s="24">
        <v>0</v>
      </c>
      <c r="D56" s="25">
        <f>IF(ABS(B56-A56)&gt;ABS(C56-A56),B56-A56,C56-A56)</f>
        <v>0</v>
      </c>
      <c r="E56" s="50">
        <f>ABS(B56-C56)</f>
        <v>0</v>
      </c>
      <c r="F56" s="50"/>
      <c r="G56" s="10">
        <v>1.2999999999999999E-2</v>
      </c>
      <c r="I56" s="26">
        <f t="shared" ref="I56:I60" si="25">A56</f>
        <v>0</v>
      </c>
      <c r="J56" s="14">
        <f>ABS(D56)/($N$6-$L$6)</f>
        <v>0</v>
      </c>
      <c r="K56" s="43">
        <f>MAX(J56:J60)</f>
        <v>0</v>
      </c>
      <c r="L56" s="14">
        <f>ABS(E56)/($N$6-$L$6)</f>
        <v>0</v>
      </c>
      <c r="M56" s="43">
        <f>MAX(L56:L60)</f>
        <v>0</v>
      </c>
      <c r="N56" s="39"/>
    </row>
    <row r="57" spans="1:14" x14ac:dyDescent="0.15">
      <c r="A57" s="23">
        <v>0</v>
      </c>
      <c r="B57" s="23">
        <v>0</v>
      </c>
      <c r="C57" s="24">
        <v>0</v>
      </c>
      <c r="D57" s="25">
        <f t="shared" ref="D57:D60" si="26">IF(ABS(B57-A57)&gt;ABS(C57-A57),B57-A57,C57-A57)</f>
        <v>0</v>
      </c>
      <c r="E57" s="50">
        <f t="shared" ref="E57:E60" si="27">ABS(B57-C57)</f>
        <v>0</v>
      </c>
      <c r="F57" s="50"/>
      <c r="G57" s="10">
        <v>1.2999999999999999E-2</v>
      </c>
      <c r="I57" s="26">
        <f t="shared" si="25"/>
        <v>0</v>
      </c>
      <c r="J57" s="14">
        <f t="shared" ref="J57:J60" si="28">ABS(D57)/($N$6-$L$6)</f>
        <v>0</v>
      </c>
      <c r="K57" s="44"/>
      <c r="L57" s="14">
        <f t="shared" ref="L57:L60" si="29">ABS(E57)/($N$6-$L$6)</f>
        <v>0</v>
      </c>
      <c r="M57" s="44"/>
      <c r="N57" s="39"/>
    </row>
    <row r="58" spans="1:14" x14ac:dyDescent="0.15">
      <c r="A58" s="23">
        <v>0</v>
      </c>
      <c r="B58" s="23">
        <v>0</v>
      </c>
      <c r="C58" s="24">
        <v>0</v>
      </c>
      <c r="D58" s="25">
        <f t="shared" si="26"/>
        <v>0</v>
      </c>
      <c r="E58" s="50">
        <f t="shared" si="27"/>
        <v>0</v>
      </c>
      <c r="F58" s="50"/>
      <c r="G58" s="10">
        <v>1.2999999999999999E-2</v>
      </c>
      <c r="I58" s="26">
        <f t="shared" si="25"/>
        <v>0</v>
      </c>
      <c r="J58" s="14">
        <f t="shared" si="28"/>
        <v>0</v>
      </c>
      <c r="K58" s="44"/>
      <c r="L58" s="14">
        <f t="shared" si="29"/>
        <v>0</v>
      </c>
      <c r="M58" s="44"/>
      <c r="N58" s="39"/>
    </row>
    <row r="59" spans="1:14" x14ac:dyDescent="0.15">
      <c r="A59" s="23">
        <v>0</v>
      </c>
      <c r="B59" s="23">
        <v>0</v>
      </c>
      <c r="C59" s="24">
        <v>0</v>
      </c>
      <c r="D59" s="25">
        <f t="shared" si="26"/>
        <v>0</v>
      </c>
      <c r="E59" s="50">
        <f t="shared" si="27"/>
        <v>0</v>
      </c>
      <c r="F59" s="50"/>
      <c r="G59" s="10">
        <v>1.2999999999999999E-2</v>
      </c>
      <c r="I59" s="26">
        <f t="shared" si="25"/>
        <v>0</v>
      </c>
      <c r="J59" s="14">
        <f t="shared" si="28"/>
        <v>0</v>
      </c>
      <c r="K59" s="44"/>
      <c r="L59" s="14">
        <f t="shared" si="29"/>
        <v>0</v>
      </c>
      <c r="M59" s="44"/>
      <c r="N59" s="39"/>
    </row>
    <row r="60" spans="1:14" x14ac:dyDescent="0.15">
      <c r="A60" s="23">
        <v>0</v>
      </c>
      <c r="B60" s="23">
        <v>0</v>
      </c>
      <c r="C60" s="24">
        <v>0</v>
      </c>
      <c r="D60" s="25">
        <f t="shared" si="26"/>
        <v>0</v>
      </c>
      <c r="E60" s="50">
        <f t="shared" si="27"/>
        <v>0</v>
      </c>
      <c r="F60" s="50"/>
      <c r="G60" s="10">
        <v>1.2999999999999999E-2</v>
      </c>
      <c r="I60" s="26">
        <f t="shared" si="25"/>
        <v>0</v>
      </c>
      <c r="J60" s="14">
        <f t="shared" si="28"/>
        <v>0</v>
      </c>
      <c r="K60" s="45"/>
      <c r="L60" s="14">
        <f t="shared" si="29"/>
        <v>0</v>
      </c>
      <c r="M60" s="45"/>
      <c r="N60" s="39"/>
    </row>
    <row r="61" spans="1:14" ht="8.25" customHeight="1" x14ac:dyDescent="0.15"/>
    <row r="62" spans="1:14" x14ac:dyDescent="0.15">
      <c r="A62" s="11" t="s">
        <v>27</v>
      </c>
      <c r="B62" s="5" t="s">
        <v>10</v>
      </c>
      <c r="C62" s="11"/>
      <c r="D62" s="12" t="s">
        <v>34</v>
      </c>
      <c r="E62" s="53" t="str">
        <f>$N$5</f>
        <v>psi</v>
      </c>
      <c r="F62" s="53"/>
      <c r="G62" s="4"/>
      <c r="I62" s="18" t="s">
        <v>27</v>
      </c>
      <c r="J62" s="13" t="str">
        <f>B62</f>
        <v>CH7</v>
      </c>
      <c r="K62" s="6"/>
      <c r="L62" s="12"/>
      <c r="M62" s="5"/>
      <c r="N62" s="13"/>
    </row>
    <row r="63" spans="1:14" ht="15" customHeight="1" x14ac:dyDescent="0.15">
      <c r="A63" s="61" t="s">
        <v>28</v>
      </c>
      <c r="B63" s="61" t="s">
        <v>29</v>
      </c>
      <c r="C63" s="63"/>
      <c r="D63" s="64" t="s">
        <v>32</v>
      </c>
      <c r="E63" s="57" t="s">
        <v>33</v>
      </c>
      <c r="F63" s="58"/>
      <c r="G63" s="51" t="s">
        <v>3</v>
      </c>
      <c r="I63" s="37" t="s">
        <v>28</v>
      </c>
      <c r="J63" s="46" t="s">
        <v>42</v>
      </c>
      <c r="K63" s="48" t="s">
        <v>22</v>
      </c>
      <c r="L63" s="42" t="s">
        <v>43</v>
      </c>
      <c r="M63" s="39" t="s">
        <v>22</v>
      </c>
      <c r="N63" s="38" t="s">
        <v>44</v>
      </c>
    </row>
    <row r="64" spans="1:14" x14ac:dyDescent="0.15">
      <c r="A64" s="62"/>
      <c r="B64" s="8" t="s">
        <v>30</v>
      </c>
      <c r="C64" s="9" t="s">
        <v>31</v>
      </c>
      <c r="D64" s="65"/>
      <c r="E64" s="59"/>
      <c r="F64" s="60"/>
      <c r="G64" s="52"/>
      <c r="I64" s="36" t="str">
        <f>"（"&amp;$N$5&amp;"）"</f>
        <v>（psi）</v>
      </c>
      <c r="J64" s="47"/>
      <c r="K64" s="48"/>
      <c r="L64" s="42"/>
      <c r="M64" s="39"/>
      <c r="N64" s="39"/>
    </row>
    <row r="65" spans="1:14" x14ac:dyDescent="0.15">
      <c r="A65" s="23">
        <v>0</v>
      </c>
      <c r="B65" s="23">
        <v>0</v>
      </c>
      <c r="C65" s="24">
        <v>0</v>
      </c>
      <c r="D65" s="25">
        <f>IF(ABS(B65-A65)&gt;ABS(C65-A65),B65-A65,C65-A65)</f>
        <v>0</v>
      </c>
      <c r="E65" s="50">
        <f>ABS(B65-C65)</f>
        <v>0</v>
      </c>
      <c r="F65" s="50"/>
      <c r="G65" s="10">
        <v>1.2999999999999999E-2</v>
      </c>
      <c r="I65" s="26">
        <f t="shared" ref="I65:I69" si="30">A65</f>
        <v>0</v>
      </c>
      <c r="J65" s="14">
        <f>ABS(D65)/($N$6-$L$6)</f>
        <v>0</v>
      </c>
      <c r="K65" s="43">
        <f>MAX(J65:J69)</f>
        <v>0</v>
      </c>
      <c r="L65" s="14">
        <f>ABS(E65)/($N$6-$L$6)</f>
        <v>0</v>
      </c>
      <c r="M65" s="43">
        <f>MAX(L65:L69)</f>
        <v>0</v>
      </c>
      <c r="N65" s="39"/>
    </row>
    <row r="66" spans="1:14" x14ac:dyDescent="0.15">
      <c r="A66" s="23">
        <v>0</v>
      </c>
      <c r="B66" s="23">
        <v>0</v>
      </c>
      <c r="C66" s="24">
        <v>0</v>
      </c>
      <c r="D66" s="25">
        <f t="shared" ref="D66:D69" si="31">IF(ABS(B66-A66)&gt;ABS(C66-A66),B66-A66,C66-A66)</f>
        <v>0</v>
      </c>
      <c r="E66" s="50">
        <f t="shared" ref="E66:E69" si="32">ABS(B66-C66)</f>
        <v>0</v>
      </c>
      <c r="F66" s="50"/>
      <c r="G66" s="10">
        <v>1.2999999999999999E-2</v>
      </c>
      <c r="I66" s="26">
        <f t="shared" si="30"/>
        <v>0</v>
      </c>
      <c r="J66" s="14">
        <f t="shared" ref="J66:J69" si="33">ABS(D66)/($N$6-$L$6)</f>
        <v>0</v>
      </c>
      <c r="K66" s="44"/>
      <c r="L66" s="14">
        <f t="shared" ref="L66:L69" si="34">ABS(E66)/($N$6-$L$6)</f>
        <v>0</v>
      </c>
      <c r="M66" s="44"/>
      <c r="N66" s="39"/>
    </row>
    <row r="67" spans="1:14" x14ac:dyDescent="0.15">
      <c r="A67" s="23">
        <v>0</v>
      </c>
      <c r="B67" s="23">
        <v>0</v>
      </c>
      <c r="C67" s="24">
        <v>0</v>
      </c>
      <c r="D67" s="25">
        <f t="shared" si="31"/>
        <v>0</v>
      </c>
      <c r="E67" s="50">
        <f t="shared" si="32"/>
        <v>0</v>
      </c>
      <c r="F67" s="50"/>
      <c r="G67" s="10">
        <v>1.2999999999999999E-2</v>
      </c>
      <c r="I67" s="26">
        <f t="shared" si="30"/>
        <v>0</v>
      </c>
      <c r="J67" s="14">
        <f t="shared" si="33"/>
        <v>0</v>
      </c>
      <c r="K67" s="44"/>
      <c r="L67" s="14">
        <f t="shared" si="34"/>
        <v>0</v>
      </c>
      <c r="M67" s="44"/>
      <c r="N67" s="39"/>
    </row>
    <row r="68" spans="1:14" x14ac:dyDescent="0.15">
      <c r="A68" s="23">
        <v>0</v>
      </c>
      <c r="B68" s="23">
        <v>0</v>
      </c>
      <c r="C68" s="24">
        <v>0</v>
      </c>
      <c r="D68" s="25">
        <f t="shared" si="31"/>
        <v>0</v>
      </c>
      <c r="E68" s="50">
        <f t="shared" si="32"/>
        <v>0</v>
      </c>
      <c r="F68" s="50"/>
      <c r="G68" s="10">
        <v>1.2999999999999999E-2</v>
      </c>
      <c r="I68" s="26">
        <f t="shared" si="30"/>
        <v>0</v>
      </c>
      <c r="J68" s="14">
        <f t="shared" si="33"/>
        <v>0</v>
      </c>
      <c r="K68" s="44"/>
      <c r="L68" s="14">
        <f t="shared" si="34"/>
        <v>0</v>
      </c>
      <c r="M68" s="44"/>
      <c r="N68" s="39"/>
    </row>
    <row r="69" spans="1:14" x14ac:dyDescent="0.15">
      <c r="A69" s="23">
        <v>0</v>
      </c>
      <c r="B69" s="23">
        <v>0</v>
      </c>
      <c r="C69" s="24">
        <v>0</v>
      </c>
      <c r="D69" s="25">
        <f t="shared" si="31"/>
        <v>0</v>
      </c>
      <c r="E69" s="50">
        <f t="shared" si="32"/>
        <v>0</v>
      </c>
      <c r="F69" s="50"/>
      <c r="G69" s="10">
        <v>1.2999999999999999E-2</v>
      </c>
      <c r="I69" s="26">
        <f t="shared" si="30"/>
        <v>0</v>
      </c>
      <c r="J69" s="14">
        <f t="shared" si="33"/>
        <v>0</v>
      </c>
      <c r="K69" s="45"/>
      <c r="L69" s="14">
        <f t="shared" si="34"/>
        <v>0</v>
      </c>
      <c r="M69" s="45"/>
      <c r="N69" s="39"/>
    </row>
    <row r="70" spans="1:14" ht="7.5" customHeight="1" x14ac:dyDescent="0.15"/>
    <row r="71" spans="1:14" x14ac:dyDescent="0.15">
      <c r="A71" s="11" t="s">
        <v>27</v>
      </c>
      <c r="B71" s="5" t="s">
        <v>11</v>
      </c>
      <c r="C71" s="11"/>
      <c r="D71" s="12" t="s">
        <v>34</v>
      </c>
      <c r="E71" s="53" t="str">
        <f>$N$5</f>
        <v>psi</v>
      </c>
      <c r="F71" s="53"/>
      <c r="G71" s="4"/>
      <c r="I71" s="18" t="s">
        <v>27</v>
      </c>
      <c r="J71" s="13" t="str">
        <f>B71</f>
        <v>CH8</v>
      </c>
      <c r="K71" s="6"/>
      <c r="L71" s="12"/>
      <c r="M71" s="5"/>
      <c r="N71" s="13"/>
    </row>
    <row r="72" spans="1:14" ht="15" customHeight="1" x14ac:dyDescent="0.15">
      <c r="A72" s="61" t="s">
        <v>28</v>
      </c>
      <c r="B72" s="61" t="s">
        <v>29</v>
      </c>
      <c r="C72" s="63"/>
      <c r="D72" s="64" t="s">
        <v>32</v>
      </c>
      <c r="E72" s="57" t="s">
        <v>33</v>
      </c>
      <c r="F72" s="58"/>
      <c r="G72" s="51" t="s">
        <v>3</v>
      </c>
      <c r="I72" s="37" t="s">
        <v>28</v>
      </c>
      <c r="J72" s="46" t="s">
        <v>42</v>
      </c>
      <c r="K72" s="48" t="s">
        <v>22</v>
      </c>
      <c r="L72" s="42" t="s">
        <v>43</v>
      </c>
      <c r="M72" s="39" t="s">
        <v>22</v>
      </c>
      <c r="N72" s="38" t="s">
        <v>44</v>
      </c>
    </row>
    <row r="73" spans="1:14" x14ac:dyDescent="0.15">
      <c r="A73" s="62"/>
      <c r="B73" s="8" t="s">
        <v>30</v>
      </c>
      <c r="C73" s="9" t="s">
        <v>31</v>
      </c>
      <c r="D73" s="65"/>
      <c r="E73" s="59"/>
      <c r="F73" s="60"/>
      <c r="G73" s="52"/>
      <c r="I73" s="36" t="str">
        <f>"（"&amp;$N$5&amp;"）"</f>
        <v>（psi）</v>
      </c>
      <c r="J73" s="47"/>
      <c r="K73" s="48"/>
      <c r="L73" s="42"/>
      <c r="M73" s="39"/>
      <c r="N73" s="39"/>
    </row>
    <row r="74" spans="1:14" x14ac:dyDescent="0.15">
      <c r="A74" s="23">
        <v>0</v>
      </c>
      <c r="B74" s="23">
        <v>0</v>
      </c>
      <c r="C74" s="24">
        <v>0</v>
      </c>
      <c r="D74" s="25">
        <f>IF(ABS(B74-A74)&gt;ABS(C74-A74),B74-A74,C74-A74)</f>
        <v>0</v>
      </c>
      <c r="E74" s="50">
        <f>ABS(B74-C74)</f>
        <v>0</v>
      </c>
      <c r="F74" s="50"/>
      <c r="G74" s="10">
        <v>1.2999999999999999E-2</v>
      </c>
      <c r="I74" s="26">
        <f t="shared" ref="I74:I78" si="35">A74</f>
        <v>0</v>
      </c>
      <c r="J74" s="14">
        <f>ABS(D74)/($N$6-$L$6)</f>
        <v>0</v>
      </c>
      <c r="K74" s="43">
        <f>MAX(J74:J78)</f>
        <v>0</v>
      </c>
      <c r="L74" s="14">
        <f>ABS(E74)/($N$6-$L$6)</f>
        <v>0</v>
      </c>
      <c r="M74" s="43">
        <f>MAX(L74:L78)</f>
        <v>0</v>
      </c>
      <c r="N74" s="39"/>
    </row>
    <row r="75" spans="1:14" x14ac:dyDescent="0.15">
      <c r="A75" s="23">
        <v>0</v>
      </c>
      <c r="B75" s="23">
        <v>0</v>
      </c>
      <c r="C75" s="24">
        <v>0</v>
      </c>
      <c r="D75" s="25">
        <f t="shared" ref="D75:D78" si="36">IF(ABS(B75-A75)&gt;ABS(C75-A75),B75-A75,C75-A75)</f>
        <v>0</v>
      </c>
      <c r="E75" s="50">
        <f t="shared" ref="E75:E78" si="37">ABS(B75-C75)</f>
        <v>0</v>
      </c>
      <c r="F75" s="50"/>
      <c r="G75" s="10">
        <v>1.2999999999999999E-2</v>
      </c>
      <c r="I75" s="26">
        <f t="shared" si="35"/>
        <v>0</v>
      </c>
      <c r="J75" s="14">
        <f t="shared" ref="J75:J78" si="38">ABS(D75)/($N$6-$L$6)</f>
        <v>0</v>
      </c>
      <c r="K75" s="44"/>
      <c r="L75" s="14">
        <f t="shared" ref="L75:L78" si="39">ABS(E75)/($N$6-$L$6)</f>
        <v>0</v>
      </c>
      <c r="M75" s="44"/>
      <c r="N75" s="39"/>
    </row>
    <row r="76" spans="1:14" x14ac:dyDescent="0.15">
      <c r="A76" s="23">
        <v>0</v>
      </c>
      <c r="B76" s="23">
        <v>0</v>
      </c>
      <c r="C76" s="24">
        <v>0</v>
      </c>
      <c r="D76" s="25">
        <f t="shared" si="36"/>
        <v>0</v>
      </c>
      <c r="E76" s="50">
        <f t="shared" si="37"/>
        <v>0</v>
      </c>
      <c r="F76" s="50"/>
      <c r="G76" s="10">
        <v>1.2999999999999999E-2</v>
      </c>
      <c r="I76" s="26">
        <f t="shared" si="35"/>
        <v>0</v>
      </c>
      <c r="J76" s="14">
        <f t="shared" si="38"/>
        <v>0</v>
      </c>
      <c r="K76" s="44"/>
      <c r="L76" s="14">
        <f t="shared" si="39"/>
        <v>0</v>
      </c>
      <c r="M76" s="44"/>
      <c r="N76" s="39"/>
    </row>
    <row r="77" spans="1:14" x14ac:dyDescent="0.15">
      <c r="A77" s="23">
        <v>0</v>
      </c>
      <c r="B77" s="23">
        <v>0</v>
      </c>
      <c r="C77" s="24">
        <v>0</v>
      </c>
      <c r="D77" s="25">
        <f t="shared" si="36"/>
        <v>0</v>
      </c>
      <c r="E77" s="50">
        <f t="shared" si="37"/>
        <v>0</v>
      </c>
      <c r="F77" s="50"/>
      <c r="G77" s="10">
        <v>1.2999999999999999E-2</v>
      </c>
      <c r="I77" s="26">
        <f t="shared" si="35"/>
        <v>0</v>
      </c>
      <c r="J77" s="14">
        <f t="shared" si="38"/>
        <v>0</v>
      </c>
      <c r="K77" s="44"/>
      <c r="L77" s="14">
        <f t="shared" si="39"/>
        <v>0</v>
      </c>
      <c r="M77" s="44"/>
      <c r="N77" s="39"/>
    </row>
    <row r="78" spans="1:14" x14ac:dyDescent="0.15">
      <c r="A78" s="23">
        <v>0</v>
      </c>
      <c r="B78" s="23">
        <v>0</v>
      </c>
      <c r="C78" s="24">
        <v>0</v>
      </c>
      <c r="D78" s="25">
        <f t="shared" si="36"/>
        <v>0</v>
      </c>
      <c r="E78" s="50">
        <f t="shared" si="37"/>
        <v>0</v>
      </c>
      <c r="F78" s="50"/>
      <c r="G78" s="10">
        <v>1.2999999999999999E-2</v>
      </c>
      <c r="I78" s="26">
        <f t="shared" si="35"/>
        <v>0</v>
      </c>
      <c r="J78" s="14">
        <f t="shared" si="38"/>
        <v>0</v>
      </c>
      <c r="K78" s="45"/>
      <c r="L78" s="14">
        <f t="shared" si="39"/>
        <v>0</v>
      </c>
      <c r="M78" s="45"/>
      <c r="N78" s="39"/>
    </row>
    <row r="79" spans="1:14" ht="7.5" customHeight="1" x14ac:dyDescent="0.15"/>
    <row r="80" spans="1:14" x14ac:dyDescent="0.15">
      <c r="A80" s="11" t="s">
        <v>27</v>
      </c>
      <c r="B80" s="5" t="s">
        <v>12</v>
      </c>
      <c r="C80" s="11"/>
      <c r="D80" s="12" t="s">
        <v>34</v>
      </c>
      <c r="E80" s="53" t="str">
        <f>$N$5</f>
        <v>psi</v>
      </c>
      <c r="F80" s="53"/>
      <c r="G80" s="4"/>
      <c r="I80" s="18" t="s">
        <v>27</v>
      </c>
      <c r="J80" s="13" t="str">
        <f>B80</f>
        <v>CH9</v>
      </c>
      <c r="K80" s="6"/>
      <c r="L80" s="12"/>
      <c r="M80" s="5"/>
      <c r="N80" s="13"/>
    </row>
    <row r="81" spans="1:14" ht="15" customHeight="1" x14ac:dyDescent="0.15">
      <c r="A81" s="61" t="s">
        <v>28</v>
      </c>
      <c r="B81" s="61" t="s">
        <v>29</v>
      </c>
      <c r="C81" s="63"/>
      <c r="D81" s="64" t="s">
        <v>32</v>
      </c>
      <c r="E81" s="57" t="s">
        <v>33</v>
      </c>
      <c r="F81" s="58"/>
      <c r="G81" s="51" t="s">
        <v>3</v>
      </c>
      <c r="I81" s="37" t="s">
        <v>28</v>
      </c>
      <c r="J81" s="46" t="s">
        <v>42</v>
      </c>
      <c r="K81" s="48" t="s">
        <v>22</v>
      </c>
      <c r="L81" s="42" t="s">
        <v>43</v>
      </c>
      <c r="M81" s="39" t="s">
        <v>22</v>
      </c>
      <c r="N81" s="38" t="s">
        <v>44</v>
      </c>
    </row>
    <row r="82" spans="1:14" x14ac:dyDescent="0.15">
      <c r="A82" s="62"/>
      <c r="B82" s="8" t="s">
        <v>30</v>
      </c>
      <c r="C82" s="9" t="s">
        <v>31</v>
      </c>
      <c r="D82" s="65"/>
      <c r="E82" s="59"/>
      <c r="F82" s="60"/>
      <c r="G82" s="52"/>
      <c r="I82" s="36" t="str">
        <f>"（"&amp;$N$5&amp;"）"</f>
        <v>（psi）</v>
      </c>
      <c r="J82" s="47"/>
      <c r="K82" s="48"/>
      <c r="L82" s="42"/>
      <c r="M82" s="39"/>
      <c r="N82" s="39"/>
    </row>
    <row r="83" spans="1:14" x14ac:dyDescent="0.15">
      <c r="A83" s="23">
        <v>0</v>
      </c>
      <c r="B83" s="23">
        <v>0</v>
      </c>
      <c r="C83" s="24">
        <v>0</v>
      </c>
      <c r="D83" s="25">
        <f>IF(ABS(B83-A83)&gt;ABS(C83-A83),B83-A83,C83-A83)</f>
        <v>0</v>
      </c>
      <c r="E83" s="50">
        <f>ABS(B83-C83)</f>
        <v>0</v>
      </c>
      <c r="F83" s="50"/>
      <c r="G83" s="10">
        <v>1.2999999999999999E-2</v>
      </c>
      <c r="I83" s="26">
        <f t="shared" ref="I83:I87" si="40">A83</f>
        <v>0</v>
      </c>
      <c r="J83" s="14">
        <f>ABS(D83)/($N$6-$L$6)</f>
        <v>0</v>
      </c>
      <c r="K83" s="43">
        <f>MAX(J83:J87)</f>
        <v>0</v>
      </c>
      <c r="L83" s="14">
        <f>ABS(E83)/($N$6-$L$6)</f>
        <v>0</v>
      </c>
      <c r="M83" s="43">
        <f>MAX(L83:L87)</f>
        <v>0</v>
      </c>
      <c r="N83" s="39"/>
    </row>
    <row r="84" spans="1:14" x14ac:dyDescent="0.15">
      <c r="A84" s="23">
        <v>0</v>
      </c>
      <c r="B84" s="23">
        <v>0</v>
      </c>
      <c r="C84" s="24">
        <v>0</v>
      </c>
      <c r="D84" s="25">
        <f t="shared" ref="D84:D87" si="41">IF(ABS(B84-A84)&gt;ABS(C84-A84),B84-A84,C84-A84)</f>
        <v>0</v>
      </c>
      <c r="E84" s="50">
        <f t="shared" ref="E84:E87" si="42">ABS(B84-C84)</f>
        <v>0</v>
      </c>
      <c r="F84" s="50"/>
      <c r="G84" s="10">
        <v>1.2999999999999999E-2</v>
      </c>
      <c r="I84" s="26">
        <f t="shared" si="40"/>
        <v>0</v>
      </c>
      <c r="J84" s="14">
        <f t="shared" ref="J84:J87" si="43">ABS(D84)/($N$6-$L$6)</f>
        <v>0</v>
      </c>
      <c r="K84" s="44"/>
      <c r="L84" s="14">
        <f t="shared" ref="L84:L87" si="44">ABS(E84)/($N$6-$L$6)</f>
        <v>0</v>
      </c>
      <c r="M84" s="44"/>
      <c r="N84" s="39"/>
    </row>
    <row r="85" spans="1:14" x14ac:dyDescent="0.15">
      <c r="A85" s="23">
        <v>0</v>
      </c>
      <c r="B85" s="23">
        <v>0</v>
      </c>
      <c r="C85" s="24">
        <v>0</v>
      </c>
      <c r="D85" s="25">
        <f t="shared" si="41"/>
        <v>0</v>
      </c>
      <c r="E85" s="50">
        <f t="shared" si="42"/>
        <v>0</v>
      </c>
      <c r="F85" s="50"/>
      <c r="G85" s="10">
        <v>1.2999999999999999E-2</v>
      </c>
      <c r="I85" s="26">
        <f t="shared" si="40"/>
        <v>0</v>
      </c>
      <c r="J85" s="14">
        <f t="shared" si="43"/>
        <v>0</v>
      </c>
      <c r="K85" s="44"/>
      <c r="L85" s="14">
        <f t="shared" si="44"/>
        <v>0</v>
      </c>
      <c r="M85" s="44"/>
      <c r="N85" s="39"/>
    </row>
    <row r="86" spans="1:14" x14ac:dyDescent="0.15">
      <c r="A86" s="23">
        <v>0</v>
      </c>
      <c r="B86" s="23">
        <v>0</v>
      </c>
      <c r="C86" s="24">
        <v>0</v>
      </c>
      <c r="D86" s="25">
        <f t="shared" si="41"/>
        <v>0</v>
      </c>
      <c r="E86" s="50">
        <f t="shared" si="42"/>
        <v>0</v>
      </c>
      <c r="F86" s="50"/>
      <c r="G86" s="10">
        <v>1.2999999999999999E-2</v>
      </c>
      <c r="I86" s="26">
        <f t="shared" si="40"/>
        <v>0</v>
      </c>
      <c r="J86" s="14">
        <f t="shared" si="43"/>
        <v>0</v>
      </c>
      <c r="K86" s="44"/>
      <c r="L86" s="14">
        <f t="shared" si="44"/>
        <v>0</v>
      </c>
      <c r="M86" s="44"/>
      <c r="N86" s="39"/>
    </row>
    <row r="87" spans="1:14" x14ac:dyDescent="0.15">
      <c r="A87" s="23">
        <v>0</v>
      </c>
      <c r="B87" s="23">
        <v>0</v>
      </c>
      <c r="C87" s="24">
        <v>0</v>
      </c>
      <c r="D87" s="25">
        <f t="shared" si="41"/>
        <v>0</v>
      </c>
      <c r="E87" s="50">
        <f t="shared" si="42"/>
        <v>0</v>
      </c>
      <c r="F87" s="50"/>
      <c r="G87" s="10">
        <v>1.2999999999999999E-2</v>
      </c>
      <c r="I87" s="26">
        <f t="shared" si="40"/>
        <v>0</v>
      </c>
      <c r="J87" s="14">
        <f t="shared" si="43"/>
        <v>0</v>
      </c>
      <c r="K87" s="45"/>
      <c r="L87" s="14">
        <f t="shared" si="44"/>
        <v>0</v>
      </c>
      <c r="M87" s="45"/>
      <c r="N87" s="39"/>
    </row>
    <row r="88" spans="1:14" ht="8.25" customHeight="1" x14ac:dyDescent="0.15"/>
    <row r="89" spans="1:14" x14ac:dyDescent="0.15">
      <c r="A89" s="11" t="s">
        <v>27</v>
      </c>
      <c r="B89" s="5" t="s">
        <v>13</v>
      </c>
      <c r="C89" s="11"/>
      <c r="D89" s="12" t="s">
        <v>34</v>
      </c>
      <c r="E89" s="53" t="str">
        <f>$N$5</f>
        <v>psi</v>
      </c>
      <c r="F89" s="53"/>
      <c r="G89" s="4"/>
      <c r="I89" s="18" t="s">
        <v>27</v>
      </c>
      <c r="J89" s="13" t="str">
        <f>B89</f>
        <v>CH10</v>
      </c>
      <c r="K89" s="6"/>
      <c r="L89" s="12"/>
      <c r="M89" s="5"/>
      <c r="N89" s="13"/>
    </row>
    <row r="90" spans="1:14" ht="15" customHeight="1" x14ac:dyDescent="0.15">
      <c r="A90" s="61" t="s">
        <v>28</v>
      </c>
      <c r="B90" s="61" t="s">
        <v>29</v>
      </c>
      <c r="C90" s="63"/>
      <c r="D90" s="64" t="s">
        <v>32</v>
      </c>
      <c r="E90" s="57" t="s">
        <v>33</v>
      </c>
      <c r="F90" s="58"/>
      <c r="G90" s="51" t="s">
        <v>3</v>
      </c>
      <c r="I90" s="37" t="s">
        <v>28</v>
      </c>
      <c r="J90" s="46" t="s">
        <v>42</v>
      </c>
      <c r="K90" s="48" t="s">
        <v>22</v>
      </c>
      <c r="L90" s="42" t="s">
        <v>43</v>
      </c>
      <c r="M90" s="39" t="s">
        <v>22</v>
      </c>
      <c r="N90" s="38" t="s">
        <v>44</v>
      </c>
    </row>
    <row r="91" spans="1:14" x14ac:dyDescent="0.15">
      <c r="A91" s="62"/>
      <c r="B91" s="8" t="s">
        <v>30</v>
      </c>
      <c r="C91" s="9" t="s">
        <v>31</v>
      </c>
      <c r="D91" s="65"/>
      <c r="E91" s="59"/>
      <c r="F91" s="60"/>
      <c r="G91" s="52"/>
      <c r="I91" s="36" t="str">
        <f>"（"&amp;$N$5&amp;"）"</f>
        <v>（psi）</v>
      </c>
      <c r="J91" s="47"/>
      <c r="K91" s="48"/>
      <c r="L91" s="42"/>
      <c r="M91" s="39"/>
      <c r="N91" s="39"/>
    </row>
    <row r="92" spans="1:14" x14ac:dyDescent="0.15">
      <c r="A92" s="23">
        <v>0</v>
      </c>
      <c r="B92" s="23">
        <v>0</v>
      </c>
      <c r="C92" s="24">
        <v>0</v>
      </c>
      <c r="D92" s="25">
        <f>IF(ABS(B92-A92)&gt;ABS(C92-A92),B92-A92,C92-A92)</f>
        <v>0</v>
      </c>
      <c r="E92" s="50">
        <f>ABS(B92-C92)</f>
        <v>0</v>
      </c>
      <c r="F92" s="50"/>
      <c r="G92" s="10">
        <v>1.2999999999999999E-2</v>
      </c>
      <c r="I92" s="26">
        <f t="shared" ref="I92:I96" si="45">A92</f>
        <v>0</v>
      </c>
      <c r="J92" s="14">
        <f>ABS(D92)/($N$6-$L$6)</f>
        <v>0</v>
      </c>
      <c r="K92" s="43">
        <f>MAX(J92:J96)</f>
        <v>0</v>
      </c>
      <c r="L92" s="14">
        <f>ABS(E92)/($N$6-$L$6)</f>
        <v>0</v>
      </c>
      <c r="M92" s="43">
        <f>MAX(L92:L96)</f>
        <v>0</v>
      </c>
      <c r="N92" s="39"/>
    </row>
    <row r="93" spans="1:14" x14ac:dyDescent="0.15">
      <c r="A93" s="23">
        <v>0</v>
      </c>
      <c r="B93" s="23">
        <v>0</v>
      </c>
      <c r="C93" s="24">
        <v>0</v>
      </c>
      <c r="D93" s="25">
        <f t="shared" ref="D93:D96" si="46">IF(ABS(B93-A93)&gt;ABS(C93-A93),B93-A93,C93-A93)</f>
        <v>0</v>
      </c>
      <c r="E93" s="50">
        <f t="shared" ref="E93:E96" si="47">ABS(B93-C93)</f>
        <v>0</v>
      </c>
      <c r="F93" s="50"/>
      <c r="G93" s="10">
        <v>1.2999999999999999E-2</v>
      </c>
      <c r="I93" s="26">
        <f t="shared" si="45"/>
        <v>0</v>
      </c>
      <c r="J93" s="14">
        <f t="shared" ref="J93:J96" si="48">ABS(D93)/($N$6-$L$6)</f>
        <v>0</v>
      </c>
      <c r="K93" s="44"/>
      <c r="L93" s="14">
        <f t="shared" ref="L93:L96" si="49">ABS(E93)/($N$6-$L$6)</f>
        <v>0</v>
      </c>
      <c r="M93" s="44"/>
      <c r="N93" s="39"/>
    </row>
    <row r="94" spans="1:14" x14ac:dyDescent="0.15">
      <c r="A94" s="23">
        <v>0</v>
      </c>
      <c r="B94" s="23">
        <v>0</v>
      </c>
      <c r="C94" s="24">
        <v>0</v>
      </c>
      <c r="D94" s="25">
        <f t="shared" si="46"/>
        <v>0</v>
      </c>
      <c r="E94" s="50">
        <f t="shared" si="47"/>
        <v>0</v>
      </c>
      <c r="F94" s="50"/>
      <c r="G94" s="10">
        <v>1.2999999999999999E-2</v>
      </c>
      <c r="I94" s="26">
        <f t="shared" si="45"/>
        <v>0</v>
      </c>
      <c r="J94" s="14">
        <f t="shared" si="48"/>
        <v>0</v>
      </c>
      <c r="K94" s="44"/>
      <c r="L94" s="14">
        <f t="shared" si="49"/>
        <v>0</v>
      </c>
      <c r="M94" s="44"/>
      <c r="N94" s="39"/>
    </row>
    <row r="95" spans="1:14" x14ac:dyDescent="0.15">
      <c r="A95" s="23">
        <v>0</v>
      </c>
      <c r="B95" s="23">
        <v>0</v>
      </c>
      <c r="C95" s="24">
        <v>0</v>
      </c>
      <c r="D95" s="25">
        <f t="shared" si="46"/>
        <v>0</v>
      </c>
      <c r="E95" s="50">
        <f t="shared" si="47"/>
        <v>0</v>
      </c>
      <c r="F95" s="50"/>
      <c r="G95" s="10">
        <v>1.2999999999999999E-2</v>
      </c>
      <c r="I95" s="26">
        <f t="shared" si="45"/>
        <v>0</v>
      </c>
      <c r="J95" s="14">
        <f t="shared" si="48"/>
        <v>0</v>
      </c>
      <c r="K95" s="44"/>
      <c r="L95" s="14">
        <f t="shared" si="49"/>
        <v>0</v>
      </c>
      <c r="M95" s="44"/>
      <c r="N95" s="39"/>
    </row>
    <row r="96" spans="1:14" x14ac:dyDescent="0.15">
      <c r="A96" s="23">
        <v>0</v>
      </c>
      <c r="B96" s="23">
        <v>0</v>
      </c>
      <c r="C96" s="24">
        <v>0</v>
      </c>
      <c r="D96" s="25">
        <f t="shared" si="46"/>
        <v>0</v>
      </c>
      <c r="E96" s="50">
        <f t="shared" si="47"/>
        <v>0</v>
      </c>
      <c r="F96" s="50"/>
      <c r="G96" s="10">
        <v>1.2999999999999999E-2</v>
      </c>
      <c r="I96" s="26">
        <f t="shared" si="45"/>
        <v>0</v>
      </c>
      <c r="J96" s="14">
        <f t="shared" si="48"/>
        <v>0</v>
      </c>
      <c r="K96" s="45"/>
      <c r="L96" s="14">
        <f t="shared" si="49"/>
        <v>0</v>
      </c>
      <c r="M96" s="45"/>
      <c r="N96" s="39"/>
    </row>
    <row r="97" spans="1:14" x14ac:dyDescent="0.15">
      <c r="A97" s="28"/>
      <c r="B97" s="28"/>
      <c r="C97" s="29"/>
      <c r="D97" s="30"/>
      <c r="E97" s="30"/>
      <c r="F97" s="30"/>
      <c r="G97" s="31"/>
      <c r="I97" s="32"/>
      <c r="J97" s="32"/>
      <c r="K97" s="32"/>
      <c r="L97" s="32"/>
      <c r="M97" s="33"/>
      <c r="N97" s="34"/>
    </row>
    <row r="98" spans="1:14" x14ac:dyDescent="0.15">
      <c r="A98" s="28"/>
      <c r="B98" s="28"/>
      <c r="C98" s="29"/>
      <c r="D98" s="30"/>
      <c r="E98" s="30"/>
      <c r="F98" s="30"/>
      <c r="G98" s="31"/>
      <c r="I98" s="32"/>
      <c r="J98" s="33"/>
      <c r="K98" s="33"/>
      <c r="L98" s="33"/>
      <c r="M98" s="33"/>
      <c r="N98" s="34"/>
    </row>
    <row r="99" spans="1:14" x14ac:dyDescent="0.15">
      <c r="A99" s="11" t="s">
        <v>27</v>
      </c>
      <c r="B99" s="5" t="s">
        <v>14</v>
      </c>
      <c r="C99" s="11"/>
      <c r="D99" s="12" t="s">
        <v>34</v>
      </c>
      <c r="E99" s="53" t="str">
        <f>$N$5</f>
        <v>psi</v>
      </c>
      <c r="F99" s="53"/>
      <c r="G99" s="4"/>
      <c r="I99" s="18" t="s">
        <v>27</v>
      </c>
      <c r="J99" s="13" t="str">
        <f>B99</f>
        <v>CH11</v>
      </c>
      <c r="K99" s="6"/>
      <c r="L99" s="12"/>
      <c r="M99" s="5"/>
      <c r="N99" s="13"/>
    </row>
    <row r="100" spans="1:14" ht="15" customHeight="1" x14ac:dyDescent="0.15">
      <c r="A100" s="61" t="s">
        <v>28</v>
      </c>
      <c r="B100" s="61" t="s">
        <v>29</v>
      </c>
      <c r="C100" s="63"/>
      <c r="D100" s="64" t="s">
        <v>32</v>
      </c>
      <c r="E100" s="57" t="s">
        <v>33</v>
      </c>
      <c r="F100" s="58"/>
      <c r="G100" s="51" t="s">
        <v>3</v>
      </c>
      <c r="I100" s="37" t="s">
        <v>28</v>
      </c>
      <c r="J100" s="46" t="s">
        <v>42</v>
      </c>
      <c r="K100" s="48" t="s">
        <v>22</v>
      </c>
      <c r="L100" s="42" t="s">
        <v>43</v>
      </c>
      <c r="M100" s="39" t="s">
        <v>22</v>
      </c>
      <c r="N100" s="38" t="s">
        <v>44</v>
      </c>
    </row>
    <row r="101" spans="1:14" x14ac:dyDescent="0.15">
      <c r="A101" s="62"/>
      <c r="B101" s="8" t="s">
        <v>30</v>
      </c>
      <c r="C101" s="9" t="s">
        <v>31</v>
      </c>
      <c r="D101" s="65"/>
      <c r="E101" s="59"/>
      <c r="F101" s="60"/>
      <c r="G101" s="52"/>
      <c r="I101" s="36" t="str">
        <f>"（"&amp;$N$5&amp;"）"</f>
        <v>（psi）</v>
      </c>
      <c r="J101" s="47"/>
      <c r="K101" s="48"/>
      <c r="L101" s="42"/>
      <c r="M101" s="39"/>
      <c r="N101" s="39"/>
    </row>
    <row r="102" spans="1:14" x14ac:dyDescent="0.15">
      <c r="A102" s="23">
        <v>0</v>
      </c>
      <c r="B102" s="23">
        <v>0</v>
      </c>
      <c r="C102" s="24">
        <v>0</v>
      </c>
      <c r="D102" s="25">
        <f>IF(ABS(B102-A102)&gt;ABS(C102-A102),B102-A102,C102-A102)</f>
        <v>0</v>
      </c>
      <c r="E102" s="50">
        <f>ABS(B102-C102)</f>
        <v>0</v>
      </c>
      <c r="F102" s="50"/>
      <c r="G102" s="10">
        <v>1.2999999999999999E-2</v>
      </c>
      <c r="I102" s="26">
        <f t="shared" ref="I102:I106" si="50">A102</f>
        <v>0</v>
      </c>
      <c r="J102" s="14">
        <f>ABS(D102)/($N$6-$L$6)</f>
        <v>0</v>
      </c>
      <c r="K102" s="43">
        <f>MAX(J102:J106)</f>
        <v>0</v>
      </c>
      <c r="L102" s="14">
        <f>ABS(E102)/($N$6-$L$6)</f>
        <v>0</v>
      </c>
      <c r="M102" s="43">
        <f>MAX(L102:L106)</f>
        <v>0</v>
      </c>
      <c r="N102" s="39"/>
    </row>
    <row r="103" spans="1:14" x14ac:dyDescent="0.15">
      <c r="A103" s="23">
        <v>0</v>
      </c>
      <c r="B103" s="23">
        <v>0</v>
      </c>
      <c r="C103" s="24">
        <v>0</v>
      </c>
      <c r="D103" s="25">
        <f t="shared" ref="D103:D106" si="51">IF(ABS(B103-A103)&gt;ABS(C103-A103),B103-A103,C103-A103)</f>
        <v>0</v>
      </c>
      <c r="E103" s="50">
        <f t="shared" ref="E103:E106" si="52">ABS(B103-C103)</f>
        <v>0</v>
      </c>
      <c r="F103" s="50"/>
      <c r="G103" s="10">
        <v>1.2999999999999999E-2</v>
      </c>
      <c r="I103" s="26">
        <f t="shared" si="50"/>
        <v>0</v>
      </c>
      <c r="J103" s="14">
        <f t="shared" ref="J103:J106" si="53">ABS(D103)/($N$6-$L$6)</f>
        <v>0</v>
      </c>
      <c r="K103" s="44"/>
      <c r="L103" s="14">
        <f t="shared" ref="L103:L106" si="54">ABS(E103)/($N$6-$L$6)</f>
        <v>0</v>
      </c>
      <c r="M103" s="44"/>
      <c r="N103" s="39"/>
    </row>
    <row r="104" spans="1:14" x14ac:dyDescent="0.15">
      <c r="A104" s="23">
        <v>0</v>
      </c>
      <c r="B104" s="23">
        <v>0</v>
      </c>
      <c r="C104" s="24">
        <v>0</v>
      </c>
      <c r="D104" s="25">
        <f t="shared" si="51"/>
        <v>0</v>
      </c>
      <c r="E104" s="50">
        <f t="shared" si="52"/>
        <v>0</v>
      </c>
      <c r="F104" s="50"/>
      <c r="G104" s="10">
        <v>1.2999999999999999E-2</v>
      </c>
      <c r="I104" s="26">
        <f t="shared" si="50"/>
        <v>0</v>
      </c>
      <c r="J104" s="14">
        <f t="shared" si="53"/>
        <v>0</v>
      </c>
      <c r="K104" s="44"/>
      <c r="L104" s="14">
        <f t="shared" si="54"/>
        <v>0</v>
      </c>
      <c r="M104" s="44"/>
      <c r="N104" s="39"/>
    </row>
    <row r="105" spans="1:14" x14ac:dyDescent="0.15">
      <c r="A105" s="23">
        <v>0</v>
      </c>
      <c r="B105" s="23">
        <v>0</v>
      </c>
      <c r="C105" s="24">
        <v>0</v>
      </c>
      <c r="D105" s="25">
        <f t="shared" si="51"/>
        <v>0</v>
      </c>
      <c r="E105" s="50">
        <f t="shared" si="52"/>
        <v>0</v>
      </c>
      <c r="F105" s="50"/>
      <c r="G105" s="10">
        <v>1.2999999999999999E-2</v>
      </c>
      <c r="I105" s="26">
        <f t="shared" si="50"/>
        <v>0</v>
      </c>
      <c r="J105" s="14">
        <f t="shared" si="53"/>
        <v>0</v>
      </c>
      <c r="K105" s="44"/>
      <c r="L105" s="14">
        <f t="shared" si="54"/>
        <v>0</v>
      </c>
      <c r="M105" s="44"/>
      <c r="N105" s="39"/>
    </row>
    <row r="106" spans="1:14" x14ac:dyDescent="0.15">
      <c r="A106" s="23">
        <v>0</v>
      </c>
      <c r="B106" s="23">
        <v>0</v>
      </c>
      <c r="C106" s="24">
        <v>0</v>
      </c>
      <c r="D106" s="25">
        <f t="shared" si="51"/>
        <v>0</v>
      </c>
      <c r="E106" s="50">
        <f t="shared" si="52"/>
        <v>0</v>
      </c>
      <c r="F106" s="50"/>
      <c r="G106" s="10">
        <v>1.2999999999999999E-2</v>
      </c>
      <c r="I106" s="26">
        <f t="shared" si="50"/>
        <v>0</v>
      </c>
      <c r="J106" s="14">
        <f t="shared" si="53"/>
        <v>0</v>
      </c>
      <c r="K106" s="45"/>
      <c r="L106" s="14">
        <f t="shared" si="54"/>
        <v>0</v>
      </c>
      <c r="M106" s="45"/>
      <c r="N106" s="39"/>
    </row>
    <row r="107" spans="1:14" ht="8.25" customHeight="1" x14ac:dyDescent="0.15"/>
    <row r="108" spans="1:14" x14ac:dyDescent="0.15">
      <c r="A108" s="11" t="s">
        <v>27</v>
      </c>
      <c r="B108" s="5" t="s">
        <v>15</v>
      </c>
      <c r="C108" s="11"/>
      <c r="D108" s="12" t="s">
        <v>34</v>
      </c>
      <c r="E108" s="53" t="str">
        <f>$N$5</f>
        <v>psi</v>
      </c>
      <c r="F108" s="53"/>
      <c r="G108" s="4"/>
      <c r="I108" s="18" t="s">
        <v>27</v>
      </c>
      <c r="J108" s="13" t="str">
        <f>B108</f>
        <v>CH12</v>
      </c>
      <c r="K108" s="6"/>
      <c r="L108" s="12"/>
      <c r="M108" s="5"/>
      <c r="N108" s="13"/>
    </row>
    <row r="109" spans="1:14" ht="15" customHeight="1" x14ac:dyDescent="0.15">
      <c r="A109" s="61" t="s">
        <v>28</v>
      </c>
      <c r="B109" s="61" t="s">
        <v>29</v>
      </c>
      <c r="C109" s="63"/>
      <c r="D109" s="64" t="s">
        <v>32</v>
      </c>
      <c r="E109" s="57" t="s">
        <v>33</v>
      </c>
      <c r="F109" s="58"/>
      <c r="G109" s="51" t="s">
        <v>3</v>
      </c>
      <c r="I109" s="37" t="s">
        <v>28</v>
      </c>
      <c r="J109" s="46" t="s">
        <v>42</v>
      </c>
      <c r="K109" s="48" t="s">
        <v>22</v>
      </c>
      <c r="L109" s="42" t="s">
        <v>43</v>
      </c>
      <c r="M109" s="39" t="s">
        <v>22</v>
      </c>
      <c r="N109" s="38" t="s">
        <v>44</v>
      </c>
    </row>
    <row r="110" spans="1:14" x14ac:dyDescent="0.15">
      <c r="A110" s="62"/>
      <c r="B110" s="8" t="s">
        <v>30</v>
      </c>
      <c r="C110" s="9" t="s">
        <v>31</v>
      </c>
      <c r="D110" s="65"/>
      <c r="E110" s="59"/>
      <c r="F110" s="60"/>
      <c r="G110" s="52"/>
      <c r="I110" s="36" t="str">
        <f>"（"&amp;$N$5&amp;"）"</f>
        <v>（psi）</v>
      </c>
      <c r="J110" s="47"/>
      <c r="K110" s="48"/>
      <c r="L110" s="42"/>
      <c r="M110" s="39"/>
      <c r="N110" s="39"/>
    </row>
    <row r="111" spans="1:14" x14ac:dyDescent="0.15">
      <c r="A111" s="23">
        <v>0</v>
      </c>
      <c r="B111" s="23">
        <v>0</v>
      </c>
      <c r="C111" s="24">
        <v>0</v>
      </c>
      <c r="D111" s="25">
        <f>IF(ABS(B111-A111)&gt;ABS(C111-A111),B111-A111,C111-A111)</f>
        <v>0</v>
      </c>
      <c r="E111" s="50">
        <f>ABS(B111-C111)</f>
        <v>0</v>
      </c>
      <c r="F111" s="50"/>
      <c r="G111" s="10">
        <v>1.2999999999999999E-2</v>
      </c>
      <c r="I111" s="26">
        <f t="shared" ref="I111:I115" si="55">A111</f>
        <v>0</v>
      </c>
      <c r="J111" s="14">
        <f>ABS(D111)/($N$6-$L$6)</f>
        <v>0</v>
      </c>
      <c r="K111" s="43">
        <f>MAX(J111:J115)</f>
        <v>0</v>
      </c>
      <c r="L111" s="14">
        <f>ABS(E111)/($N$6-$L$6)</f>
        <v>0</v>
      </c>
      <c r="M111" s="43">
        <f>MAX(L111:L115)</f>
        <v>0</v>
      </c>
      <c r="N111" s="39"/>
    </row>
    <row r="112" spans="1:14" x14ac:dyDescent="0.15">
      <c r="A112" s="23">
        <v>0</v>
      </c>
      <c r="B112" s="23">
        <v>0</v>
      </c>
      <c r="C112" s="24">
        <v>0</v>
      </c>
      <c r="D112" s="25">
        <f t="shared" ref="D112:D115" si="56">IF(ABS(B112-A112)&gt;ABS(C112-A112),B112-A112,C112-A112)</f>
        <v>0</v>
      </c>
      <c r="E112" s="50">
        <f t="shared" ref="E112:E115" si="57">ABS(B112-C112)</f>
        <v>0</v>
      </c>
      <c r="F112" s="50"/>
      <c r="G112" s="10">
        <v>1.2999999999999999E-2</v>
      </c>
      <c r="I112" s="26">
        <f t="shared" si="55"/>
        <v>0</v>
      </c>
      <c r="J112" s="14">
        <f t="shared" ref="J112:J115" si="58">ABS(D112)/($N$6-$L$6)</f>
        <v>0</v>
      </c>
      <c r="K112" s="44"/>
      <c r="L112" s="14">
        <f t="shared" ref="L112:L115" si="59">ABS(E112)/($N$6-$L$6)</f>
        <v>0</v>
      </c>
      <c r="M112" s="44"/>
      <c r="N112" s="39"/>
    </row>
    <row r="113" spans="1:14" x14ac:dyDescent="0.15">
      <c r="A113" s="23">
        <v>0</v>
      </c>
      <c r="B113" s="23">
        <v>0</v>
      </c>
      <c r="C113" s="24">
        <v>0</v>
      </c>
      <c r="D113" s="25">
        <f t="shared" si="56"/>
        <v>0</v>
      </c>
      <c r="E113" s="50">
        <f t="shared" si="57"/>
        <v>0</v>
      </c>
      <c r="F113" s="50"/>
      <c r="G113" s="10">
        <v>1.2999999999999999E-2</v>
      </c>
      <c r="I113" s="26">
        <f t="shared" si="55"/>
        <v>0</v>
      </c>
      <c r="J113" s="14">
        <f t="shared" si="58"/>
        <v>0</v>
      </c>
      <c r="K113" s="44"/>
      <c r="L113" s="14">
        <f t="shared" si="59"/>
        <v>0</v>
      </c>
      <c r="M113" s="44"/>
      <c r="N113" s="39"/>
    </row>
    <row r="114" spans="1:14" x14ac:dyDescent="0.15">
      <c r="A114" s="23">
        <v>0</v>
      </c>
      <c r="B114" s="23">
        <v>0</v>
      </c>
      <c r="C114" s="24">
        <v>0</v>
      </c>
      <c r="D114" s="25">
        <f t="shared" si="56"/>
        <v>0</v>
      </c>
      <c r="E114" s="50">
        <f t="shared" si="57"/>
        <v>0</v>
      </c>
      <c r="F114" s="50"/>
      <c r="G114" s="10">
        <v>1.2999999999999999E-2</v>
      </c>
      <c r="I114" s="26">
        <f t="shared" si="55"/>
        <v>0</v>
      </c>
      <c r="J114" s="14">
        <f t="shared" si="58"/>
        <v>0</v>
      </c>
      <c r="K114" s="44"/>
      <c r="L114" s="14">
        <f t="shared" si="59"/>
        <v>0</v>
      </c>
      <c r="M114" s="44"/>
      <c r="N114" s="39"/>
    </row>
    <row r="115" spans="1:14" x14ac:dyDescent="0.15">
      <c r="A115" s="23">
        <v>0</v>
      </c>
      <c r="B115" s="23">
        <v>0</v>
      </c>
      <c r="C115" s="24">
        <v>0</v>
      </c>
      <c r="D115" s="25">
        <f t="shared" si="56"/>
        <v>0</v>
      </c>
      <c r="E115" s="50">
        <f t="shared" si="57"/>
        <v>0</v>
      </c>
      <c r="F115" s="50"/>
      <c r="G115" s="10">
        <v>1.2999999999999999E-2</v>
      </c>
      <c r="I115" s="26">
        <f t="shared" si="55"/>
        <v>0</v>
      </c>
      <c r="J115" s="14">
        <f t="shared" si="58"/>
        <v>0</v>
      </c>
      <c r="K115" s="45"/>
      <c r="L115" s="14">
        <f t="shared" si="59"/>
        <v>0</v>
      </c>
      <c r="M115" s="45"/>
      <c r="N115" s="39"/>
    </row>
    <row r="116" spans="1:14" ht="8.25" customHeight="1" x14ac:dyDescent="0.15">
      <c r="A116" s="28"/>
      <c r="B116" s="28"/>
      <c r="C116" s="29"/>
      <c r="D116" s="30"/>
      <c r="E116" s="30"/>
      <c r="F116" s="30"/>
      <c r="G116" s="31"/>
      <c r="I116" s="32"/>
      <c r="J116" s="35"/>
      <c r="K116" s="35"/>
      <c r="L116" s="35"/>
      <c r="M116" s="33"/>
      <c r="N116" s="34"/>
    </row>
    <row r="117" spans="1:14" x14ac:dyDescent="0.15">
      <c r="A117" s="11" t="s">
        <v>27</v>
      </c>
      <c r="B117" s="5" t="s">
        <v>16</v>
      </c>
      <c r="C117" s="11"/>
      <c r="D117" s="12" t="s">
        <v>34</v>
      </c>
      <c r="E117" s="53" t="str">
        <f>$N$5</f>
        <v>psi</v>
      </c>
      <c r="F117" s="53"/>
      <c r="G117" s="4"/>
      <c r="I117" s="18" t="s">
        <v>27</v>
      </c>
      <c r="J117" s="13" t="str">
        <f>B117</f>
        <v>CH13</v>
      </c>
      <c r="K117" s="6"/>
      <c r="L117" s="12"/>
      <c r="M117" s="5"/>
      <c r="N117" s="13"/>
    </row>
    <row r="118" spans="1:14" ht="15" customHeight="1" x14ac:dyDescent="0.15">
      <c r="A118" s="61" t="s">
        <v>28</v>
      </c>
      <c r="B118" s="61" t="s">
        <v>29</v>
      </c>
      <c r="C118" s="63"/>
      <c r="D118" s="64" t="s">
        <v>32</v>
      </c>
      <c r="E118" s="57" t="s">
        <v>33</v>
      </c>
      <c r="F118" s="58"/>
      <c r="G118" s="51" t="s">
        <v>3</v>
      </c>
      <c r="I118" s="37" t="s">
        <v>28</v>
      </c>
      <c r="J118" s="46" t="s">
        <v>42</v>
      </c>
      <c r="K118" s="48" t="s">
        <v>22</v>
      </c>
      <c r="L118" s="42" t="s">
        <v>43</v>
      </c>
      <c r="M118" s="39" t="s">
        <v>22</v>
      </c>
      <c r="N118" s="38" t="s">
        <v>44</v>
      </c>
    </row>
    <row r="119" spans="1:14" x14ac:dyDescent="0.15">
      <c r="A119" s="62"/>
      <c r="B119" s="8" t="s">
        <v>30</v>
      </c>
      <c r="C119" s="9" t="s">
        <v>31</v>
      </c>
      <c r="D119" s="65"/>
      <c r="E119" s="59"/>
      <c r="F119" s="60"/>
      <c r="G119" s="52"/>
      <c r="I119" s="36" t="str">
        <f>"（"&amp;$N$5&amp;"）"</f>
        <v>（psi）</v>
      </c>
      <c r="J119" s="47"/>
      <c r="K119" s="48"/>
      <c r="L119" s="42"/>
      <c r="M119" s="39"/>
      <c r="N119" s="39"/>
    </row>
    <row r="120" spans="1:14" x14ac:dyDescent="0.15">
      <c r="A120" s="23">
        <v>0</v>
      </c>
      <c r="B120" s="23">
        <v>0</v>
      </c>
      <c r="C120" s="24">
        <v>0</v>
      </c>
      <c r="D120" s="25">
        <f>IF(ABS(B120-A120)&gt;ABS(C120-A120),B120-A120,C120-A120)</f>
        <v>0</v>
      </c>
      <c r="E120" s="50">
        <f>ABS(B120-C120)</f>
        <v>0</v>
      </c>
      <c r="F120" s="50"/>
      <c r="G120" s="10">
        <v>1.2999999999999999E-2</v>
      </c>
      <c r="I120" s="26">
        <f t="shared" ref="I120:I124" si="60">A120</f>
        <v>0</v>
      </c>
      <c r="J120" s="14">
        <f>ABS(D120)/($N$6-$L$6)</f>
        <v>0</v>
      </c>
      <c r="K120" s="43">
        <f>MAX(J120:J124)</f>
        <v>0</v>
      </c>
      <c r="L120" s="14">
        <f>ABS(E120)/($N$6-$L$6)</f>
        <v>0</v>
      </c>
      <c r="M120" s="43">
        <f>MAX(L120:L124)</f>
        <v>0</v>
      </c>
      <c r="N120" s="39"/>
    </row>
    <row r="121" spans="1:14" x14ac:dyDescent="0.15">
      <c r="A121" s="23">
        <v>0</v>
      </c>
      <c r="B121" s="23">
        <v>0</v>
      </c>
      <c r="C121" s="24">
        <v>0</v>
      </c>
      <c r="D121" s="25">
        <f t="shared" ref="D121:D124" si="61">IF(ABS(B121-A121)&gt;ABS(C121-A121),B121-A121,C121-A121)</f>
        <v>0</v>
      </c>
      <c r="E121" s="50">
        <f t="shared" ref="E121:E124" si="62">ABS(B121-C121)</f>
        <v>0</v>
      </c>
      <c r="F121" s="50"/>
      <c r="G121" s="10">
        <v>1.2999999999999999E-2</v>
      </c>
      <c r="I121" s="26">
        <f t="shared" si="60"/>
        <v>0</v>
      </c>
      <c r="J121" s="14">
        <f t="shared" ref="J121:J124" si="63">ABS(D121)/($N$6-$L$6)</f>
        <v>0</v>
      </c>
      <c r="K121" s="44"/>
      <c r="L121" s="14">
        <f t="shared" ref="L121:L124" si="64">ABS(E121)/($N$6-$L$6)</f>
        <v>0</v>
      </c>
      <c r="M121" s="44"/>
      <c r="N121" s="39"/>
    </row>
    <row r="122" spans="1:14" x14ac:dyDescent="0.15">
      <c r="A122" s="23">
        <v>0</v>
      </c>
      <c r="B122" s="23">
        <v>0</v>
      </c>
      <c r="C122" s="24">
        <v>0</v>
      </c>
      <c r="D122" s="25">
        <f t="shared" si="61"/>
        <v>0</v>
      </c>
      <c r="E122" s="50">
        <f t="shared" si="62"/>
        <v>0</v>
      </c>
      <c r="F122" s="50"/>
      <c r="G122" s="10">
        <v>1.2999999999999999E-2</v>
      </c>
      <c r="I122" s="26">
        <f t="shared" si="60"/>
        <v>0</v>
      </c>
      <c r="J122" s="14">
        <f t="shared" si="63"/>
        <v>0</v>
      </c>
      <c r="K122" s="44"/>
      <c r="L122" s="14">
        <f t="shared" si="64"/>
        <v>0</v>
      </c>
      <c r="M122" s="44"/>
      <c r="N122" s="39"/>
    </row>
    <row r="123" spans="1:14" x14ac:dyDescent="0.15">
      <c r="A123" s="23">
        <v>0</v>
      </c>
      <c r="B123" s="23">
        <v>0</v>
      </c>
      <c r="C123" s="24">
        <v>0</v>
      </c>
      <c r="D123" s="25">
        <f t="shared" si="61"/>
        <v>0</v>
      </c>
      <c r="E123" s="50">
        <f t="shared" si="62"/>
        <v>0</v>
      </c>
      <c r="F123" s="50"/>
      <c r="G123" s="10">
        <v>1.2999999999999999E-2</v>
      </c>
      <c r="I123" s="26">
        <f t="shared" si="60"/>
        <v>0</v>
      </c>
      <c r="J123" s="14">
        <f t="shared" si="63"/>
        <v>0</v>
      </c>
      <c r="K123" s="44"/>
      <c r="L123" s="14">
        <f t="shared" si="64"/>
        <v>0</v>
      </c>
      <c r="M123" s="44"/>
      <c r="N123" s="39"/>
    </row>
    <row r="124" spans="1:14" x14ac:dyDescent="0.15">
      <c r="A124" s="23">
        <v>0</v>
      </c>
      <c r="B124" s="23">
        <v>0</v>
      </c>
      <c r="C124" s="24">
        <v>0</v>
      </c>
      <c r="D124" s="25">
        <f t="shared" si="61"/>
        <v>0</v>
      </c>
      <c r="E124" s="50">
        <f t="shared" si="62"/>
        <v>0</v>
      </c>
      <c r="F124" s="50"/>
      <c r="G124" s="10">
        <v>1.2999999999999999E-2</v>
      </c>
      <c r="I124" s="26">
        <f t="shared" si="60"/>
        <v>0</v>
      </c>
      <c r="J124" s="14">
        <f t="shared" si="63"/>
        <v>0</v>
      </c>
      <c r="K124" s="45"/>
      <c r="L124" s="14">
        <f t="shared" si="64"/>
        <v>0</v>
      </c>
      <c r="M124" s="45"/>
      <c r="N124" s="39"/>
    </row>
    <row r="125" spans="1:14" ht="7.5" customHeight="1" x14ac:dyDescent="0.15"/>
    <row r="126" spans="1:14" x14ac:dyDescent="0.15">
      <c r="A126" s="11" t="s">
        <v>27</v>
      </c>
      <c r="B126" s="5" t="s">
        <v>17</v>
      </c>
      <c r="C126" s="11"/>
      <c r="D126" s="12" t="s">
        <v>34</v>
      </c>
      <c r="E126" s="53" t="str">
        <f>$N$5</f>
        <v>psi</v>
      </c>
      <c r="F126" s="53"/>
      <c r="G126" s="4"/>
      <c r="I126" s="18" t="s">
        <v>27</v>
      </c>
      <c r="J126" s="13" t="str">
        <f>B126</f>
        <v>CH14</v>
      </c>
      <c r="K126" s="6"/>
      <c r="L126" s="12"/>
      <c r="M126" s="5"/>
      <c r="N126" s="13"/>
    </row>
    <row r="127" spans="1:14" ht="15" customHeight="1" x14ac:dyDescent="0.15">
      <c r="A127" s="61" t="s">
        <v>28</v>
      </c>
      <c r="B127" s="61" t="s">
        <v>29</v>
      </c>
      <c r="C127" s="63"/>
      <c r="D127" s="64" t="s">
        <v>32</v>
      </c>
      <c r="E127" s="57" t="s">
        <v>33</v>
      </c>
      <c r="F127" s="58"/>
      <c r="G127" s="51" t="s">
        <v>3</v>
      </c>
      <c r="I127" s="37" t="s">
        <v>28</v>
      </c>
      <c r="J127" s="46" t="s">
        <v>42</v>
      </c>
      <c r="K127" s="48" t="s">
        <v>22</v>
      </c>
      <c r="L127" s="42" t="s">
        <v>43</v>
      </c>
      <c r="M127" s="39" t="s">
        <v>22</v>
      </c>
      <c r="N127" s="38" t="s">
        <v>44</v>
      </c>
    </row>
    <row r="128" spans="1:14" x14ac:dyDescent="0.15">
      <c r="A128" s="62"/>
      <c r="B128" s="8" t="s">
        <v>30</v>
      </c>
      <c r="C128" s="9" t="s">
        <v>31</v>
      </c>
      <c r="D128" s="65"/>
      <c r="E128" s="59"/>
      <c r="F128" s="60"/>
      <c r="G128" s="52"/>
      <c r="I128" s="36" t="str">
        <f>"（"&amp;$N$5&amp;"）"</f>
        <v>（psi）</v>
      </c>
      <c r="J128" s="47"/>
      <c r="K128" s="48"/>
      <c r="L128" s="42"/>
      <c r="M128" s="39"/>
      <c r="N128" s="39"/>
    </row>
    <row r="129" spans="1:14" x14ac:dyDescent="0.15">
      <c r="A129" s="23">
        <v>0</v>
      </c>
      <c r="B129" s="23">
        <v>0</v>
      </c>
      <c r="C129" s="24">
        <v>0</v>
      </c>
      <c r="D129" s="25">
        <f>IF(ABS(B129-A129)&gt;ABS(C129-A129),B129-A129,C129-A129)</f>
        <v>0</v>
      </c>
      <c r="E129" s="50">
        <f>ABS(B129-C129)</f>
        <v>0</v>
      </c>
      <c r="F129" s="50"/>
      <c r="G129" s="10">
        <v>1.2999999999999999E-2</v>
      </c>
      <c r="I129" s="26">
        <f t="shared" ref="I129:I133" si="65">A129</f>
        <v>0</v>
      </c>
      <c r="J129" s="14">
        <f>ABS(D129)/($N$6-$L$6)</f>
        <v>0</v>
      </c>
      <c r="K129" s="43">
        <f>MAX(J129:J133)</f>
        <v>0</v>
      </c>
      <c r="L129" s="14">
        <f>ABS(E129)/($N$6-$L$6)</f>
        <v>0</v>
      </c>
      <c r="M129" s="43">
        <f>MAX(L129:L133)</f>
        <v>0</v>
      </c>
      <c r="N129" s="39"/>
    </row>
    <row r="130" spans="1:14" x14ac:dyDescent="0.15">
      <c r="A130" s="23">
        <v>0</v>
      </c>
      <c r="B130" s="23">
        <v>0</v>
      </c>
      <c r="C130" s="24">
        <v>0</v>
      </c>
      <c r="D130" s="25">
        <f t="shared" ref="D130:D133" si="66">IF(ABS(B130-A130)&gt;ABS(C130-A130),B130-A130,C130-A130)</f>
        <v>0</v>
      </c>
      <c r="E130" s="50">
        <f t="shared" ref="E130:E133" si="67">ABS(B130-C130)</f>
        <v>0</v>
      </c>
      <c r="F130" s="50"/>
      <c r="G130" s="10">
        <v>1.2999999999999999E-2</v>
      </c>
      <c r="I130" s="26">
        <f t="shared" si="65"/>
        <v>0</v>
      </c>
      <c r="J130" s="14">
        <f t="shared" ref="J130:J133" si="68">ABS(D130)/($N$6-$L$6)</f>
        <v>0</v>
      </c>
      <c r="K130" s="44"/>
      <c r="L130" s="14">
        <f t="shared" ref="L130:L133" si="69">ABS(E130)/($N$6-$L$6)</f>
        <v>0</v>
      </c>
      <c r="M130" s="44"/>
      <c r="N130" s="39"/>
    </row>
    <row r="131" spans="1:14" x14ac:dyDescent="0.15">
      <c r="A131" s="23">
        <v>0</v>
      </c>
      <c r="B131" s="23">
        <v>0</v>
      </c>
      <c r="C131" s="24">
        <v>0</v>
      </c>
      <c r="D131" s="25">
        <f t="shared" si="66"/>
        <v>0</v>
      </c>
      <c r="E131" s="50">
        <f t="shared" si="67"/>
        <v>0</v>
      </c>
      <c r="F131" s="50"/>
      <c r="G131" s="10">
        <v>1.2999999999999999E-2</v>
      </c>
      <c r="I131" s="26">
        <f t="shared" si="65"/>
        <v>0</v>
      </c>
      <c r="J131" s="14">
        <f t="shared" si="68"/>
        <v>0</v>
      </c>
      <c r="K131" s="44"/>
      <c r="L131" s="14">
        <f t="shared" si="69"/>
        <v>0</v>
      </c>
      <c r="M131" s="44"/>
      <c r="N131" s="39"/>
    </row>
    <row r="132" spans="1:14" x14ac:dyDescent="0.15">
      <c r="A132" s="23">
        <v>0</v>
      </c>
      <c r="B132" s="23">
        <v>0</v>
      </c>
      <c r="C132" s="24">
        <v>0</v>
      </c>
      <c r="D132" s="25">
        <f t="shared" si="66"/>
        <v>0</v>
      </c>
      <c r="E132" s="50">
        <f t="shared" si="67"/>
        <v>0</v>
      </c>
      <c r="F132" s="50"/>
      <c r="G132" s="10">
        <v>1.2999999999999999E-2</v>
      </c>
      <c r="I132" s="26">
        <f t="shared" si="65"/>
        <v>0</v>
      </c>
      <c r="J132" s="14">
        <f t="shared" si="68"/>
        <v>0</v>
      </c>
      <c r="K132" s="44"/>
      <c r="L132" s="14">
        <f t="shared" si="69"/>
        <v>0</v>
      </c>
      <c r="M132" s="44"/>
      <c r="N132" s="39"/>
    </row>
    <row r="133" spans="1:14" x14ac:dyDescent="0.15">
      <c r="A133" s="23">
        <v>0</v>
      </c>
      <c r="B133" s="23">
        <v>0</v>
      </c>
      <c r="C133" s="24">
        <v>0</v>
      </c>
      <c r="D133" s="25">
        <f t="shared" si="66"/>
        <v>0</v>
      </c>
      <c r="E133" s="50">
        <f t="shared" si="67"/>
        <v>0</v>
      </c>
      <c r="F133" s="50"/>
      <c r="G133" s="10">
        <v>1.2999999999999999E-2</v>
      </c>
      <c r="I133" s="26">
        <f t="shared" si="65"/>
        <v>0</v>
      </c>
      <c r="J133" s="14">
        <f t="shared" si="68"/>
        <v>0</v>
      </c>
      <c r="K133" s="45"/>
      <c r="L133" s="14">
        <f t="shared" si="69"/>
        <v>0</v>
      </c>
      <c r="M133" s="45"/>
      <c r="N133" s="39"/>
    </row>
    <row r="134" spans="1:14" ht="6.75" customHeight="1" x14ac:dyDescent="0.15"/>
    <row r="135" spans="1:14" x14ac:dyDescent="0.15">
      <c r="A135" s="11" t="s">
        <v>27</v>
      </c>
      <c r="B135" s="5" t="s">
        <v>18</v>
      </c>
      <c r="C135" s="11"/>
      <c r="D135" s="12" t="s">
        <v>34</v>
      </c>
      <c r="E135" s="53" t="str">
        <f>$N$5</f>
        <v>psi</v>
      </c>
      <c r="F135" s="53"/>
      <c r="G135" s="4"/>
      <c r="I135" s="18" t="s">
        <v>27</v>
      </c>
      <c r="J135" s="13" t="str">
        <f>B135</f>
        <v>CH15</v>
      </c>
      <c r="K135" s="6"/>
      <c r="L135" s="12"/>
      <c r="M135" s="5"/>
      <c r="N135" s="13"/>
    </row>
    <row r="136" spans="1:14" ht="15" customHeight="1" x14ac:dyDescent="0.15">
      <c r="A136" s="61" t="s">
        <v>28</v>
      </c>
      <c r="B136" s="61" t="s">
        <v>29</v>
      </c>
      <c r="C136" s="63"/>
      <c r="D136" s="64" t="s">
        <v>32</v>
      </c>
      <c r="E136" s="57" t="s">
        <v>33</v>
      </c>
      <c r="F136" s="58"/>
      <c r="G136" s="51" t="s">
        <v>3</v>
      </c>
      <c r="I136" s="37" t="s">
        <v>28</v>
      </c>
      <c r="J136" s="46" t="s">
        <v>42</v>
      </c>
      <c r="K136" s="48" t="s">
        <v>22</v>
      </c>
      <c r="L136" s="42" t="s">
        <v>43</v>
      </c>
      <c r="M136" s="39" t="s">
        <v>22</v>
      </c>
      <c r="N136" s="38" t="s">
        <v>44</v>
      </c>
    </row>
    <row r="137" spans="1:14" x14ac:dyDescent="0.15">
      <c r="A137" s="62"/>
      <c r="B137" s="8" t="s">
        <v>30</v>
      </c>
      <c r="C137" s="9" t="s">
        <v>31</v>
      </c>
      <c r="D137" s="65"/>
      <c r="E137" s="59"/>
      <c r="F137" s="60"/>
      <c r="G137" s="52"/>
      <c r="I137" s="36" t="str">
        <f>"（"&amp;$N$5&amp;"）"</f>
        <v>（psi）</v>
      </c>
      <c r="J137" s="47"/>
      <c r="K137" s="48"/>
      <c r="L137" s="42"/>
      <c r="M137" s="39"/>
      <c r="N137" s="39"/>
    </row>
    <row r="138" spans="1:14" x14ac:dyDescent="0.15">
      <c r="A138" s="23">
        <v>0</v>
      </c>
      <c r="B138" s="23">
        <v>0</v>
      </c>
      <c r="C138" s="24">
        <v>0</v>
      </c>
      <c r="D138" s="25">
        <f>IF(ABS(B138-A138)&gt;ABS(C138-A138),B138-A138,C138-A138)</f>
        <v>0</v>
      </c>
      <c r="E138" s="50">
        <f>ABS(B138-C138)</f>
        <v>0</v>
      </c>
      <c r="F138" s="50"/>
      <c r="G138" s="10">
        <v>1.2999999999999999E-2</v>
      </c>
      <c r="I138" s="26">
        <f t="shared" ref="I138:I142" si="70">A138</f>
        <v>0</v>
      </c>
      <c r="J138" s="14">
        <f>ABS(D138)/($N$6-$L$6)</f>
        <v>0</v>
      </c>
      <c r="K138" s="43">
        <f>MAX(J138:J142)</f>
        <v>0</v>
      </c>
      <c r="L138" s="14">
        <f>ABS(E138)/($N$6-$L$6)</f>
        <v>0</v>
      </c>
      <c r="M138" s="43">
        <f>MAX(L138:L142)</f>
        <v>0</v>
      </c>
      <c r="N138" s="39"/>
    </row>
    <row r="139" spans="1:14" x14ac:dyDescent="0.15">
      <c r="A139" s="23">
        <v>0</v>
      </c>
      <c r="B139" s="23">
        <v>0</v>
      </c>
      <c r="C139" s="24">
        <v>0</v>
      </c>
      <c r="D139" s="25">
        <f t="shared" ref="D139:D142" si="71">IF(ABS(B139-A139)&gt;ABS(C139-A139),B139-A139,C139-A139)</f>
        <v>0</v>
      </c>
      <c r="E139" s="50">
        <f t="shared" ref="E139:E142" si="72">ABS(B139-C139)</f>
        <v>0</v>
      </c>
      <c r="F139" s="50"/>
      <c r="G139" s="10">
        <v>1.2999999999999999E-2</v>
      </c>
      <c r="I139" s="26">
        <f t="shared" si="70"/>
        <v>0</v>
      </c>
      <c r="J139" s="14">
        <f t="shared" ref="J139:J142" si="73">ABS(D139)/($N$6-$L$6)</f>
        <v>0</v>
      </c>
      <c r="K139" s="44"/>
      <c r="L139" s="14">
        <f t="shared" ref="L139:L142" si="74">ABS(E139)/($N$6-$L$6)</f>
        <v>0</v>
      </c>
      <c r="M139" s="44"/>
      <c r="N139" s="39"/>
    </row>
    <row r="140" spans="1:14" x14ac:dyDescent="0.15">
      <c r="A140" s="23">
        <v>0</v>
      </c>
      <c r="B140" s="23">
        <v>0</v>
      </c>
      <c r="C140" s="24">
        <v>0</v>
      </c>
      <c r="D140" s="25">
        <f t="shared" si="71"/>
        <v>0</v>
      </c>
      <c r="E140" s="50">
        <f t="shared" si="72"/>
        <v>0</v>
      </c>
      <c r="F140" s="50"/>
      <c r="G140" s="10">
        <v>1.2999999999999999E-2</v>
      </c>
      <c r="I140" s="26">
        <f t="shared" si="70"/>
        <v>0</v>
      </c>
      <c r="J140" s="14">
        <f t="shared" si="73"/>
        <v>0</v>
      </c>
      <c r="K140" s="44"/>
      <c r="L140" s="14">
        <f t="shared" si="74"/>
        <v>0</v>
      </c>
      <c r="M140" s="44"/>
      <c r="N140" s="39"/>
    </row>
    <row r="141" spans="1:14" x14ac:dyDescent="0.15">
      <c r="A141" s="23">
        <v>0</v>
      </c>
      <c r="B141" s="23">
        <v>0</v>
      </c>
      <c r="C141" s="24">
        <v>0</v>
      </c>
      <c r="D141" s="25">
        <f t="shared" si="71"/>
        <v>0</v>
      </c>
      <c r="E141" s="50">
        <f t="shared" si="72"/>
        <v>0</v>
      </c>
      <c r="F141" s="50"/>
      <c r="G141" s="10">
        <v>1.2999999999999999E-2</v>
      </c>
      <c r="I141" s="26">
        <f t="shared" si="70"/>
        <v>0</v>
      </c>
      <c r="J141" s="14">
        <f t="shared" si="73"/>
        <v>0</v>
      </c>
      <c r="K141" s="44"/>
      <c r="L141" s="14">
        <f t="shared" si="74"/>
        <v>0</v>
      </c>
      <c r="M141" s="44"/>
      <c r="N141" s="39"/>
    </row>
    <row r="142" spans="1:14" x14ac:dyDescent="0.15">
      <c r="A142" s="23">
        <v>0</v>
      </c>
      <c r="B142" s="23">
        <v>0</v>
      </c>
      <c r="C142" s="24">
        <v>0</v>
      </c>
      <c r="D142" s="25">
        <f t="shared" si="71"/>
        <v>0</v>
      </c>
      <c r="E142" s="50">
        <f t="shared" si="72"/>
        <v>0</v>
      </c>
      <c r="F142" s="50"/>
      <c r="G142" s="10">
        <v>1.2999999999999999E-2</v>
      </c>
      <c r="I142" s="26">
        <f t="shared" si="70"/>
        <v>0</v>
      </c>
      <c r="J142" s="14">
        <f t="shared" si="73"/>
        <v>0</v>
      </c>
      <c r="K142" s="45"/>
      <c r="L142" s="14">
        <f t="shared" si="74"/>
        <v>0</v>
      </c>
      <c r="M142" s="45"/>
      <c r="N142" s="39"/>
    </row>
    <row r="143" spans="1:14" x14ac:dyDescent="0.15">
      <c r="A143" s="28"/>
      <c r="B143" s="28"/>
      <c r="C143" s="29"/>
      <c r="D143" s="30"/>
      <c r="E143" s="30"/>
      <c r="F143" s="30"/>
      <c r="G143" s="31"/>
      <c r="I143" s="32"/>
      <c r="J143" s="32"/>
      <c r="K143" s="32"/>
      <c r="L143" s="32"/>
      <c r="M143" s="32"/>
      <c r="N143" s="34"/>
    </row>
    <row r="144" spans="1:14" x14ac:dyDescent="0.15">
      <c r="A144" s="28"/>
      <c r="B144" s="28"/>
      <c r="C144" s="29"/>
      <c r="D144" s="30"/>
      <c r="E144" s="30"/>
      <c r="F144" s="30"/>
      <c r="G144" s="31"/>
      <c r="I144" s="32"/>
      <c r="J144" s="32"/>
      <c r="K144" s="32"/>
      <c r="L144" s="32"/>
      <c r="M144" s="32"/>
      <c r="N144" s="34"/>
    </row>
    <row r="145" spans="1:14" x14ac:dyDescent="0.15">
      <c r="A145" s="11" t="s">
        <v>27</v>
      </c>
      <c r="B145" s="5" t="s">
        <v>19</v>
      </c>
      <c r="C145" s="11"/>
      <c r="D145" s="12" t="s">
        <v>34</v>
      </c>
      <c r="E145" s="53" t="str">
        <f>$N$5</f>
        <v>psi</v>
      </c>
      <c r="F145" s="53"/>
      <c r="G145" s="4"/>
      <c r="I145" s="18" t="s">
        <v>27</v>
      </c>
      <c r="J145" s="13" t="str">
        <f>B145</f>
        <v>CH16</v>
      </c>
      <c r="K145" s="6"/>
      <c r="L145" s="12"/>
      <c r="M145" s="5"/>
      <c r="N145" s="13"/>
    </row>
    <row r="146" spans="1:14" ht="15" customHeight="1" x14ac:dyDescent="0.15">
      <c r="A146" s="61" t="s">
        <v>28</v>
      </c>
      <c r="B146" s="61" t="s">
        <v>29</v>
      </c>
      <c r="C146" s="63"/>
      <c r="D146" s="64" t="s">
        <v>32</v>
      </c>
      <c r="E146" s="57" t="s">
        <v>33</v>
      </c>
      <c r="F146" s="58"/>
      <c r="G146" s="51" t="s">
        <v>3</v>
      </c>
      <c r="I146" s="37" t="s">
        <v>28</v>
      </c>
      <c r="J146" s="46" t="s">
        <v>42</v>
      </c>
      <c r="K146" s="48" t="s">
        <v>22</v>
      </c>
      <c r="L146" s="42" t="s">
        <v>43</v>
      </c>
      <c r="M146" s="39" t="s">
        <v>22</v>
      </c>
      <c r="N146" s="38" t="s">
        <v>44</v>
      </c>
    </row>
    <row r="147" spans="1:14" x14ac:dyDescent="0.15">
      <c r="A147" s="62"/>
      <c r="B147" s="8" t="s">
        <v>30</v>
      </c>
      <c r="C147" s="9" t="s">
        <v>31</v>
      </c>
      <c r="D147" s="65"/>
      <c r="E147" s="59"/>
      <c r="F147" s="60"/>
      <c r="G147" s="52"/>
      <c r="I147" s="36" t="str">
        <f>"（"&amp;$N$5&amp;"）"</f>
        <v>（psi）</v>
      </c>
      <c r="J147" s="47"/>
      <c r="K147" s="48"/>
      <c r="L147" s="42"/>
      <c r="M147" s="39"/>
      <c r="N147" s="39"/>
    </row>
    <row r="148" spans="1:14" x14ac:dyDescent="0.15">
      <c r="A148" s="23">
        <v>0</v>
      </c>
      <c r="B148" s="23">
        <v>0</v>
      </c>
      <c r="C148" s="24">
        <v>0</v>
      </c>
      <c r="D148" s="25">
        <f>IF(ABS(B148-A148)&gt;ABS(C148-A148),B148-A148,C148-A148)</f>
        <v>0</v>
      </c>
      <c r="E148" s="50">
        <f>ABS(B148-C148)</f>
        <v>0</v>
      </c>
      <c r="F148" s="50"/>
      <c r="G148" s="10">
        <v>1.2999999999999999E-2</v>
      </c>
      <c r="I148" s="26">
        <f t="shared" ref="I148:I152" si="75">A148</f>
        <v>0</v>
      </c>
      <c r="J148" s="14">
        <f>ABS(D148)/($N$6-$L$6)</f>
        <v>0</v>
      </c>
      <c r="K148" s="43">
        <f>MAX(J148:J152)</f>
        <v>0</v>
      </c>
      <c r="L148" s="14">
        <f>ABS(E148)/($N$6-$L$6)</f>
        <v>0</v>
      </c>
      <c r="M148" s="43">
        <f>MAX(L148:L152)</f>
        <v>0</v>
      </c>
      <c r="N148" s="39"/>
    </row>
    <row r="149" spans="1:14" x14ac:dyDescent="0.15">
      <c r="A149" s="23">
        <v>0</v>
      </c>
      <c r="B149" s="23">
        <v>0</v>
      </c>
      <c r="C149" s="24">
        <v>0</v>
      </c>
      <c r="D149" s="25">
        <f t="shared" ref="D149:D152" si="76">IF(ABS(B149-A149)&gt;ABS(C149-A149),B149-A149,C149-A149)</f>
        <v>0</v>
      </c>
      <c r="E149" s="50">
        <f t="shared" ref="E149:E152" si="77">ABS(B149-C149)</f>
        <v>0</v>
      </c>
      <c r="F149" s="50"/>
      <c r="G149" s="10">
        <v>1.2999999999999999E-2</v>
      </c>
      <c r="I149" s="26">
        <f t="shared" si="75"/>
        <v>0</v>
      </c>
      <c r="J149" s="14">
        <f t="shared" ref="J149:J152" si="78">ABS(D149)/($N$6-$L$6)</f>
        <v>0</v>
      </c>
      <c r="K149" s="44"/>
      <c r="L149" s="14">
        <f t="shared" ref="L149:L152" si="79">ABS(E149)/($N$6-$L$6)</f>
        <v>0</v>
      </c>
      <c r="M149" s="44"/>
      <c r="N149" s="39"/>
    </row>
    <row r="150" spans="1:14" x14ac:dyDescent="0.15">
      <c r="A150" s="23">
        <v>0</v>
      </c>
      <c r="B150" s="23">
        <v>0</v>
      </c>
      <c r="C150" s="24">
        <v>0</v>
      </c>
      <c r="D150" s="25">
        <f t="shared" si="76"/>
        <v>0</v>
      </c>
      <c r="E150" s="50">
        <f t="shared" si="77"/>
        <v>0</v>
      </c>
      <c r="F150" s="50"/>
      <c r="G150" s="10">
        <v>1.2999999999999999E-2</v>
      </c>
      <c r="I150" s="26">
        <f t="shared" si="75"/>
        <v>0</v>
      </c>
      <c r="J150" s="14">
        <f t="shared" si="78"/>
        <v>0</v>
      </c>
      <c r="K150" s="44"/>
      <c r="L150" s="14">
        <f t="shared" si="79"/>
        <v>0</v>
      </c>
      <c r="M150" s="44"/>
      <c r="N150" s="39"/>
    </row>
    <row r="151" spans="1:14" x14ac:dyDescent="0.15">
      <c r="A151" s="23">
        <v>0</v>
      </c>
      <c r="B151" s="23">
        <v>0</v>
      </c>
      <c r="C151" s="24">
        <v>0</v>
      </c>
      <c r="D151" s="25">
        <f t="shared" si="76"/>
        <v>0</v>
      </c>
      <c r="E151" s="50">
        <f t="shared" si="77"/>
        <v>0</v>
      </c>
      <c r="F151" s="50"/>
      <c r="G151" s="10">
        <v>1.2999999999999999E-2</v>
      </c>
      <c r="I151" s="26">
        <f t="shared" si="75"/>
        <v>0</v>
      </c>
      <c r="J151" s="14">
        <f t="shared" si="78"/>
        <v>0</v>
      </c>
      <c r="K151" s="44"/>
      <c r="L151" s="14">
        <f t="shared" si="79"/>
        <v>0</v>
      </c>
      <c r="M151" s="44"/>
      <c r="N151" s="39"/>
    </row>
    <row r="152" spans="1:14" x14ac:dyDescent="0.15">
      <c r="A152" s="23">
        <v>0</v>
      </c>
      <c r="B152" s="23">
        <v>0</v>
      </c>
      <c r="C152" s="24">
        <v>0</v>
      </c>
      <c r="D152" s="25">
        <f t="shared" si="76"/>
        <v>0</v>
      </c>
      <c r="E152" s="50">
        <f t="shared" si="77"/>
        <v>0</v>
      </c>
      <c r="F152" s="50"/>
      <c r="G152" s="10">
        <v>1.2999999999999999E-2</v>
      </c>
      <c r="I152" s="26">
        <f t="shared" si="75"/>
        <v>0</v>
      </c>
      <c r="J152" s="14">
        <f t="shared" si="78"/>
        <v>0</v>
      </c>
      <c r="K152" s="45"/>
      <c r="L152" s="14">
        <f t="shared" si="79"/>
        <v>0</v>
      </c>
      <c r="M152" s="45"/>
      <c r="N152" s="39"/>
    </row>
    <row r="153" spans="1:14" x14ac:dyDescent="0.15">
      <c r="A153" s="28"/>
      <c r="B153" s="28"/>
      <c r="C153" s="29"/>
      <c r="D153" s="30"/>
      <c r="E153" s="30"/>
      <c r="F153" s="30"/>
      <c r="G153" s="31"/>
      <c r="I153" s="32"/>
      <c r="J153" s="32"/>
      <c r="K153" s="32"/>
      <c r="L153" s="32"/>
      <c r="M153" s="32"/>
      <c r="N153" s="34"/>
    </row>
    <row r="154" spans="1:14" x14ac:dyDescent="0.15">
      <c r="A154" s="56"/>
      <c r="B154" s="56"/>
      <c r="C154" s="56"/>
      <c r="D154" s="56"/>
      <c r="E154" s="56"/>
      <c r="F154" s="56"/>
      <c r="G154" s="56"/>
    </row>
    <row r="155" spans="1:14" x14ac:dyDescent="0.15">
      <c r="A155" s="66" t="s">
        <v>2</v>
      </c>
      <c r="B155" s="66"/>
      <c r="C155" s="66"/>
      <c r="D155" s="66"/>
      <c r="E155" s="66"/>
      <c r="F155" s="66"/>
      <c r="G155" s="66"/>
    </row>
    <row r="156" spans="1:14" x14ac:dyDescent="0.15">
      <c r="A156" s="56" t="s">
        <v>1</v>
      </c>
      <c r="B156" s="56"/>
      <c r="C156" s="56"/>
      <c r="D156" s="56"/>
      <c r="E156" s="56"/>
      <c r="F156" s="56"/>
      <c r="G156" s="56"/>
    </row>
  </sheetData>
  <mergeCells count="313">
    <mergeCell ref="E152:F152"/>
    <mergeCell ref="A146:A147"/>
    <mergeCell ref="B146:C146"/>
    <mergeCell ref="D146:D147"/>
    <mergeCell ref="E146:F147"/>
    <mergeCell ref="G146:G147"/>
    <mergeCell ref="E148:F148"/>
    <mergeCell ref="E149:F149"/>
    <mergeCell ref="E150:F150"/>
    <mergeCell ref="E151:F151"/>
    <mergeCell ref="E138:F138"/>
    <mergeCell ref="E139:F139"/>
    <mergeCell ref="E140:F140"/>
    <mergeCell ref="E141:F141"/>
    <mergeCell ref="E142:F142"/>
    <mergeCell ref="E145:F145"/>
    <mergeCell ref="E130:F130"/>
    <mergeCell ref="E131:F131"/>
    <mergeCell ref="E132:F132"/>
    <mergeCell ref="E133:F133"/>
    <mergeCell ref="E135:F135"/>
    <mergeCell ref="A136:A137"/>
    <mergeCell ref="B136:C136"/>
    <mergeCell ref="D136:D137"/>
    <mergeCell ref="E136:F137"/>
    <mergeCell ref="A127:A128"/>
    <mergeCell ref="B127:C127"/>
    <mergeCell ref="D127:D128"/>
    <mergeCell ref="E127:F128"/>
    <mergeCell ref="G127:G128"/>
    <mergeCell ref="E129:F129"/>
    <mergeCell ref="G136:G137"/>
    <mergeCell ref="G118:G119"/>
    <mergeCell ref="E120:F120"/>
    <mergeCell ref="E121:F121"/>
    <mergeCell ref="E122:F122"/>
    <mergeCell ref="E123:F123"/>
    <mergeCell ref="E124:F124"/>
    <mergeCell ref="E126:F126"/>
    <mergeCell ref="E117:F117"/>
    <mergeCell ref="A118:A119"/>
    <mergeCell ref="B118:C118"/>
    <mergeCell ref="D118:D119"/>
    <mergeCell ref="E118:F119"/>
    <mergeCell ref="A109:A110"/>
    <mergeCell ref="B109:C109"/>
    <mergeCell ref="D109:D110"/>
    <mergeCell ref="E109:F110"/>
    <mergeCell ref="E115:F115"/>
    <mergeCell ref="E111:F111"/>
    <mergeCell ref="E112:F112"/>
    <mergeCell ref="E22:F22"/>
    <mergeCell ref="E23:F23"/>
    <mergeCell ref="E32:F32"/>
    <mergeCell ref="B44:C44"/>
    <mergeCell ref="D44:D45"/>
    <mergeCell ref="A35:A36"/>
    <mergeCell ref="B35:C35"/>
    <mergeCell ref="D35:D36"/>
    <mergeCell ref="A63:A64"/>
    <mergeCell ref="B63:C63"/>
    <mergeCell ref="D63:D64"/>
    <mergeCell ref="A54:A55"/>
    <mergeCell ref="B54:C54"/>
    <mergeCell ref="D54:D55"/>
    <mergeCell ref="A72:A73"/>
    <mergeCell ref="B72:C72"/>
    <mergeCell ref="D72:D73"/>
    <mergeCell ref="G26:G27"/>
    <mergeCell ref="E28:F28"/>
    <mergeCell ref="E29:F29"/>
    <mergeCell ref="E30:F30"/>
    <mergeCell ref="E31:F31"/>
    <mergeCell ref="E34:F34"/>
    <mergeCell ref="E108:F108"/>
    <mergeCell ref="E71:F71"/>
    <mergeCell ref="E102:F102"/>
    <mergeCell ref="E103:F103"/>
    <mergeCell ref="E104:F104"/>
    <mergeCell ref="E48:F48"/>
    <mergeCell ref="E57:F57"/>
    <mergeCell ref="E58:F58"/>
    <mergeCell ref="E54:F55"/>
    <mergeCell ref="E72:F73"/>
    <mergeCell ref="E49:F49"/>
    <mergeCell ref="G63:G64"/>
    <mergeCell ref="E69:F69"/>
    <mergeCell ref="E74:F74"/>
    <mergeCell ref="G72:G73"/>
    <mergeCell ref="E62:F62"/>
    <mergeCell ref="E67:F67"/>
    <mergeCell ref="E68:F68"/>
    <mergeCell ref="E20:F20"/>
    <mergeCell ref="F1:G1"/>
    <mergeCell ref="G8:G9"/>
    <mergeCell ref="E8:F9"/>
    <mergeCell ref="E10:F10"/>
    <mergeCell ref="E11:F11"/>
    <mergeCell ref="G109:G110"/>
    <mergeCell ref="E113:F113"/>
    <mergeCell ref="E114:F114"/>
    <mergeCell ref="E44:F45"/>
    <mergeCell ref="G44:G45"/>
    <mergeCell ref="E46:F46"/>
    <mergeCell ref="E35:F36"/>
    <mergeCell ref="G35:G36"/>
    <mergeCell ref="E40:F40"/>
    <mergeCell ref="E41:F41"/>
    <mergeCell ref="E37:F37"/>
    <mergeCell ref="E38:F38"/>
    <mergeCell ref="E39:F39"/>
    <mergeCell ref="E63:F64"/>
    <mergeCell ref="G54:G55"/>
    <mergeCell ref="E59:F59"/>
    <mergeCell ref="E60:F60"/>
    <mergeCell ref="E56:F56"/>
    <mergeCell ref="A154:G154"/>
    <mergeCell ref="A155:G155"/>
    <mergeCell ref="A156:G156"/>
    <mergeCell ref="A3:G3"/>
    <mergeCell ref="A4:G4"/>
    <mergeCell ref="A8:A9"/>
    <mergeCell ref="B8:C8"/>
    <mergeCell ref="D8:D9"/>
    <mergeCell ref="E14:F14"/>
    <mergeCell ref="E12:F12"/>
    <mergeCell ref="E13:F13"/>
    <mergeCell ref="E7:F7"/>
    <mergeCell ref="E19:F19"/>
    <mergeCell ref="E21:F21"/>
    <mergeCell ref="E16:F16"/>
    <mergeCell ref="E25:F25"/>
    <mergeCell ref="A26:A27"/>
    <mergeCell ref="B26:C26"/>
    <mergeCell ref="D26:D27"/>
    <mergeCell ref="E26:F27"/>
    <mergeCell ref="A17:A18"/>
    <mergeCell ref="A44:A45"/>
    <mergeCell ref="B17:C17"/>
    <mergeCell ref="D17:D18"/>
    <mergeCell ref="A81:A82"/>
    <mergeCell ref="B81:C81"/>
    <mergeCell ref="D81:D82"/>
    <mergeCell ref="E81:F82"/>
    <mergeCell ref="E75:F75"/>
    <mergeCell ref="E76:F76"/>
    <mergeCell ref="E77:F77"/>
    <mergeCell ref="E78:F78"/>
    <mergeCell ref="E80:F80"/>
    <mergeCell ref="A100:A101"/>
    <mergeCell ref="B100:C100"/>
    <mergeCell ref="D100:D101"/>
    <mergeCell ref="E100:F101"/>
    <mergeCell ref="G100:G101"/>
    <mergeCell ref="A90:A91"/>
    <mergeCell ref="B90:C90"/>
    <mergeCell ref="D90:D91"/>
    <mergeCell ref="E90:F91"/>
    <mergeCell ref="G90:G91"/>
    <mergeCell ref="E94:F94"/>
    <mergeCell ref="E96:F96"/>
    <mergeCell ref="E92:F92"/>
    <mergeCell ref="E93:F93"/>
    <mergeCell ref="E95:F95"/>
    <mergeCell ref="E99:F99"/>
    <mergeCell ref="K74:K78"/>
    <mergeCell ref="E50:F50"/>
    <mergeCell ref="I4:M4"/>
    <mergeCell ref="M28:M32"/>
    <mergeCell ref="J35:J36"/>
    <mergeCell ref="K35:K36"/>
    <mergeCell ref="L35:L36"/>
    <mergeCell ref="M35:M36"/>
    <mergeCell ref="K37:K41"/>
    <mergeCell ref="M37:M41"/>
    <mergeCell ref="J44:J45"/>
    <mergeCell ref="K44:K45"/>
    <mergeCell ref="L44:L45"/>
    <mergeCell ref="M44:M45"/>
    <mergeCell ref="K28:K32"/>
    <mergeCell ref="E53:F53"/>
    <mergeCell ref="E47:F47"/>
    <mergeCell ref="E43:F43"/>
    <mergeCell ref="K46:K50"/>
    <mergeCell ref="M46:M50"/>
    <mergeCell ref="J54:J55"/>
    <mergeCell ref="K54:K55"/>
    <mergeCell ref="E17:F18"/>
    <mergeCell ref="G17:G18"/>
    <mergeCell ref="E65:F65"/>
    <mergeCell ref="E66:F66"/>
    <mergeCell ref="E105:F105"/>
    <mergeCell ref="E106:F106"/>
    <mergeCell ref="G81:G82"/>
    <mergeCell ref="E87:F87"/>
    <mergeCell ref="E89:F89"/>
    <mergeCell ref="E85:F85"/>
    <mergeCell ref="E86:F86"/>
    <mergeCell ref="E83:F83"/>
    <mergeCell ref="E84:F84"/>
    <mergeCell ref="J63:J64"/>
    <mergeCell ref="K63:K64"/>
    <mergeCell ref="L63:L64"/>
    <mergeCell ref="M63:M64"/>
    <mergeCell ref="K65:K69"/>
    <mergeCell ref="M65:M69"/>
    <mergeCell ref="I3:M3"/>
    <mergeCell ref="J72:J73"/>
    <mergeCell ref="K72:K73"/>
    <mergeCell ref="L72:L73"/>
    <mergeCell ref="M72:M73"/>
    <mergeCell ref="K26:K27"/>
    <mergeCell ref="J26:J27"/>
    <mergeCell ref="M19:M23"/>
    <mergeCell ref="K19:K23"/>
    <mergeCell ref="K56:K60"/>
    <mergeCell ref="K8:K9"/>
    <mergeCell ref="J8:J9"/>
    <mergeCell ref="M17:M18"/>
    <mergeCell ref="L17:L18"/>
    <mergeCell ref="K17:K18"/>
    <mergeCell ref="J17:J18"/>
    <mergeCell ref="M10:M14"/>
    <mergeCell ref="K10:K14"/>
    <mergeCell ref="J81:J82"/>
    <mergeCell ref="K81:K82"/>
    <mergeCell ref="L81:L82"/>
    <mergeCell ref="M81:M82"/>
    <mergeCell ref="K83:K87"/>
    <mergeCell ref="M83:M87"/>
    <mergeCell ref="J90:J91"/>
    <mergeCell ref="K90:K91"/>
    <mergeCell ref="L90:L91"/>
    <mergeCell ref="M90:M91"/>
    <mergeCell ref="K92:K96"/>
    <mergeCell ref="M92:M96"/>
    <mergeCell ref="J100:J101"/>
    <mergeCell ref="K100:K101"/>
    <mergeCell ref="L100:L101"/>
    <mergeCell ref="M100:M101"/>
    <mergeCell ref="K102:K106"/>
    <mergeCell ref="M102:M106"/>
    <mergeCell ref="J109:J110"/>
    <mergeCell ref="K109:K110"/>
    <mergeCell ref="L109:L110"/>
    <mergeCell ref="M109:M110"/>
    <mergeCell ref="K148:K152"/>
    <mergeCell ref="M148:M152"/>
    <mergeCell ref="K129:K133"/>
    <mergeCell ref="M129:M133"/>
    <mergeCell ref="J136:J137"/>
    <mergeCell ref="K136:K137"/>
    <mergeCell ref="L136:L137"/>
    <mergeCell ref="M136:M137"/>
    <mergeCell ref="K138:K142"/>
    <mergeCell ref="M138:M142"/>
    <mergeCell ref="J146:J147"/>
    <mergeCell ref="K146:K147"/>
    <mergeCell ref="L146:L147"/>
    <mergeCell ref="M146:M147"/>
    <mergeCell ref="K111:K115"/>
    <mergeCell ref="M111:M115"/>
    <mergeCell ref="J118:J119"/>
    <mergeCell ref="K118:K119"/>
    <mergeCell ref="L118:L119"/>
    <mergeCell ref="M118:M119"/>
    <mergeCell ref="K120:K124"/>
    <mergeCell ref="M120:M124"/>
    <mergeCell ref="J127:J128"/>
    <mergeCell ref="K127:K128"/>
    <mergeCell ref="L127:L128"/>
    <mergeCell ref="M127:M128"/>
    <mergeCell ref="N44:N45"/>
    <mergeCell ref="N46:N50"/>
    <mergeCell ref="N54:N55"/>
    <mergeCell ref="N56:N60"/>
    <mergeCell ref="N63:N64"/>
    <mergeCell ref="N65:N69"/>
    <mergeCell ref="N148:N152"/>
    <mergeCell ref="N72:N73"/>
    <mergeCell ref="N74:N78"/>
    <mergeCell ref="N81:N82"/>
    <mergeCell ref="N83:N87"/>
    <mergeCell ref="N90:N91"/>
    <mergeCell ref="N92:N96"/>
    <mergeCell ref="N100:N101"/>
    <mergeCell ref="N102:N106"/>
    <mergeCell ref="N109:N110"/>
    <mergeCell ref="N146:N147"/>
    <mergeCell ref="N26:N27"/>
    <mergeCell ref="L1:L2"/>
    <mergeCell ref="N111:N115"/>
    <mergeCell ref="N118:N119"/>
    <mergeCell ref="N120:N124"/>
    <mergeCell ref="N127:N128"/>
    <mergeCell ref="N129:N133"/>
    <mergeCell ref="N136:N137"/>
    <mergeCell ref="N138:N142"/>
    <mergeCell ref="M26:M27"/>
    <mergeCell ref="L26:L27"/>
    <mergeCell ref="L54:L55"/>
    <mergeCell ref="M54:M55"/>
    <mergeCell ref="N8:N9"/>
    <mergeCell ref="N10:N14"/>
    <mergeCell ref="N17:N18"/>
    <mergeCell ref="N19:N23"/>
    <mergeCell ref="M8:M9"/>
    <mergeCell ref="L8:L9"/>
    <mergeCell ref="M74:M78"/>
    <mergeCell ref="M56:M60"/>
    <mergeCell ref="N28:N32"/>
    <mergeCell ref="N35:N36"/>
    <mergeCell ref="N37:N41"/>
  </mergeCells>
  <phoneticPr fontId="8" type="noConversion"/>
  <conditionalFormatting sqref="J10:J14">
    <cfRule type="cellIs" dxfId="65" priority="590" operator="greaterThanOrEqual">
      <formula>$J$6/100</formula>
    </cfRule>
    <cfRule type="cellIs" dxfId="64" priority="589" operator="lessThan">
      <formula>$J$6/100</formula>
    </cfRule>
  </conditionalFormatting>
  <conditionalFormatting sqref="M2:N2">
    <cfRule type="cellIs" dxfId="63" priority="401" operator="lessThan">
      <formula>0.0005</formula>
    </cfRule>
    <cfRule type="cellIs" dxfId="62" priority="402" operator="greaterThanOrEqual">
      <formula>0.0005</formula>
    </cfRule>
  </conditionalFormatting>
  <conditionalFormatting sqref="K10:M10 L11:L14">
    <cfRule type="cellIs" dxfId="61" priority="61" operator="lessThan">
      <formula>$J$6/100</formula>
    </cfRule>
    <cfRule type="cellIs" dxfId="60" priority="62" operator="greaterThanOrEqual">
      <formula>$J$6/100</formula>
    </cfRule>
  </conditionalFormatting>
  <conditionalFormatting sqref="J19:J23">
    <cfRule type="cellIs" dxfId="59" priority="59" operator="lessThan">
      <formula>$J$6/100</formula>
    </cfRule>
    <cfRule type="cellIs" dxfId="58" priority="60" operator="greaterThanOrEqual">
      <formula>$J$6/100</formula>
    </cfRule>
  </conditionalFormatting>
  <conditionalFormatting sqref="K19:M19 L20:L23">
    <cfRule type="cellIs" dxfId="57" priority="57" operator="lessThan">
      <formula>$J$6/100</formula>
    </cfRule>
    <cfRule type="cellIs" dxfId="56" priority="58" operator="greaterThanOrEqual">
      <formula>$J$6/100</formula>
    </cfRule>
  </conditionalFormatting>
  <conditionalFormatting sqref="J28:J32">
    <cfRule type="cellIs" dxfId="55" priority="55" operator="lessThan">
      <formula>$J$6/100</formula>
    </cfRule>
    <cfRule type="cellIs" dxfId="54" priority="56" operator="greaterThanOrEqual">
      <formula>$J$6/100</formula>
    </cfRule>
  </conditionalFormatting>
  <conditionalFormatting sqref="K28:M28 L29:L32">
    <cfRule type="cellIs" dxfId="53" priority="53" operator="lessThan">
      <formula>$J$6/100</formula>
    </cfRule>
    <cfRule type="cellIs" dxfId="52" priority="54" operator="greaterThanOrEqual">
      <formula>$J$6/100</formula>
    </cfRule>
  </conditionalFormatting>
  <conditionalFormatting sqref="J37:J41">
    <cfRule type="cellIs" dxfId="51" priority="51" operator="lessThan">
      <formula>$J$6/100</formula>
    </cfRule>
    <cfRule type="cellIs" dxfId="50" priority="52" operator="greaterThanOrEqual">
      <formula>$J$6/100</formula>
    </cfRule>
  </conditionalFormatting>
  <conditionalFormatting sqref="K37:M37 L38:L41">
    <cfRule type="cellIs" dxfId="49" priority="49" operator="lessThan">
      <formula>$J$6/100</formula>
    </cfRule>
    <cfRule type="cellIs" dxfId="48" priority="50" operator="greaterThanOrEqual">
      <formula>$J$6/100</formula>
    </cfRule>
  </conditionalFormatting>
  <conditionalFormatting sqref="J46:J50">
    <cfRule type="cellIs" dxfId="47" priority="47" operator="lessThan">
      <formula>$J$6/100</formula>
    </cfRule>
    <cfRule type="cellIs" dxfId="46" priority="48" operator="greaterThanOrEqual">
      <formula>$J$6/100</formula>
    </cfRule>
  </conditionalFormatting>
  <conditionalFormatting sqref="K46:M46 L47:L50">
    <cfRule type="cellIs" dxfId="45" priority="45" operator="lessThan">
      <formula>$J$6/100</formula>
    </cfRule>
    <cfRule type="cellIs" dxfId="44" priority="46" operator="greaterThanOrEqual">
      <formula>$J$6/100</formula>
    </cfRule>
  </conditionalFormatting>
  <conditionalFormatting sqref="J56:J60">
    <cfRule type="cellIs" dxfId="43" priority="43" operator="lessThan">
      <formula>$J$6/100</formula>
    </cfRule>
    <cfRule type="cellIs" dxfId="42" priority="44" operator="greaterThanOrEqual">
      <formula>$J$6/100</formula>
    </cfRule>
  </conditionalFormatting>
  <conditionalFormatting sqref="K56:M56 L57:L60">
    <cfRule type="cellIs" dxfId="41" priority="41" operator="lessThan">
      <formula>$J$6/100</formula>
    </cfRule>
    <cfRule type="cellIs" dxfId="40" priority="42" operator="greaterThanOrEqual">
      <formula>$J$6/100</formula>
    </cfRule>
  </conditionalFormatting>
  <conditionalFormatting sqref="J65:J69">
    <cfRule type="cellIs" dxfId="39" priority="39" operator="lessThan">
      <formula>$J$6/100</formula>
    </cfRule>
    <cfRule type="cellIs" dxfId="38" priority="40" operator="greaterThanOrEqual">
      <formula>$J$6/100</formula>
    </cfRule>
  </conditionalFormatting>
  <conditionalFormatting sqref="K65:M65 L66:L69">
    <cfRule type="cellIs" dxfId="37" priority="37" operator="lessThan">
      <formula>$J$6/100</formula>
    </cfRule>
    <cfRule type="cellIs" dxfId="36" priority="38" operator="greaterThanOrEqual">
      <formula>$J$6/100</formula>
    </cfRule>
  </conditionalFormatting>
  <conditionalFormatting sqref="J74:J78">
    <cfRule type="cellIs" dxfId="35" priority="35" operator="lessThan">
      <formula>$J$6/100</formula>
    </cfRule>
    <cfRule type="cellIs" dxfId="34" priority="36" operator="greaterThanOrEqual">
      <formula>$J$6/100</formula>
    </cfRule>
  </conditionalFormatting>
  <conditionalFormatting sqref="K74:M74 L75:L78">
    <cfRule type="cellIs" dxfId="33" priority="33" operator="lessThan">
      <formula>$J$6/100</formula>
    </cfRule>
    <cfRule type="cellIs" dxfId="32" priority="34" operator="greaterThanOrEqual">
      <formula>$J$6/100</formula>
    </cfRule>
  </conditionalFormatting>
  <conditionalFormatting sqref="J83:J87">
    <cfRule type="cellIs" dxfId="31" priority="31" operator="lessThan">
      <formula>$J$6/100</formula>
    </cfRule>
    <cfRule type="cellIs" dxfId="30" priority="32" operator="greaterThanOrEqual">
      <formula>$J$6/100</formula>
    </cfRule>
  </conditionalFormatting>
  <conditionalFormatting sqref="K83:M83 L84:L87">
    <cfRule type="cellIs" dxfId="29" priority="29" operator="lessThan">
      <formula>$J$6/100</formula>
    </cfRule>
    <cfRule type="cellIs" dxfId="28" priority="30" operator="greaterThanOrEqual">
      <formula>$J$6/100</formula>
    </cfRule>
  </conditionalFormatting>
  <conditionalFormatting sqref="J92:J96">
    <cfRule type="cellIs" dxfId="27" priority="27" operator="lessThan">
      <formula>$J$6/100</formula>
    </cfRule>
    <cfRule type="cellIs" dxfId="26" priority="28" operator="greaterThanOrEqual">
      <formula>$J$6/100</formula>
    </cfRule>
  </conditionalFormatting>
  <conditionalFormatting sqref="K92:M92 L93:L96">
    <cfRule type="cellIs" dxfId="25" priority="25" operator="lessThan">
      <formula>$J$6/100</formula>
    </cfRule>
    <cfRule type="cellIs" dxfId="24" priority="26" operator="greaterThanOrEqual">
      <formula>$J$6/100</formula>
    </cfRule>
  </conditionalFormatting>
  <conditionalFormatting sqref="J102:J106">
    <cfRule type="cellIs" dxfId="23" priority="23" operator="lessThan">
      <formula>$J$6/100</formula>
    </cfRule>
    <cfRule type="cellIs" dxfId="22" priority="24" operator="greaterThanOrEqual">
      <formula>$J$6/100</formula>
    </cfRule>
  </conditionalFormatting>
  <conditionalFormatting sqref="K102:M102 L103:L106">
    <cfRule type="cellIs" dxfId="21" priority="21" operator="lessThan">
      <formula>$J$6/100</formula>
    </cfRule>
    <cfRule type="cellIs" dxfId="20" priority="22" operator="greaterThanOrEqual">
      <formula>$J$6/100</formula>
    </cfRule>
  </conditionalFormatting>
  <conditionalFormatting sqref="J111:J115">
    <cfRule type="cellIs" dxfId="19" priority="19" operator="lessThan">
      <formula>$J$6/100</formula>
    </cfRule>
    <cfRule type="cellIs" dxfId="18" priority="20" operator="greaterThanOrEqual">
      <formula>$J$6/100</formula>
    </cfRule>
  </conditionalFormatting>
  <conditionalFormatting sqref="K111:M111 L112:L115">
    <cfRule type="cellIs" dxfId="17" priority="17" operator="lessThan">
      <formula>$J$6/100</formula>
    </cfRule>
    <cfRule type="cellIs" dxfId="16" priority="18" operator="greaterThanOrEqual">
      <formula>$J$6/100</formula>
    </cfRule>
  </conditionalFormatting>
  <conditionalFormatting sqref="J120:J124">
    <cfRule type="cellIs" dxfId="15" priority="15" operator="lessThan">
      <formula>$J$6/100</formula>
    </cfRule>
    <cfRule type="cellIs" dxfId="14" priority="16" operator="greaterThanOrEqual">
      <formula>$J$6/100</formula>
    </cfRule>
  </conditionalFormatting>
  <conditionalFormatting sqref="K120:M120 L121:L124">
    <cfRule type="cellIs" dxfId="13" priority="13" operator="lessThan">
      <formula>$J$6/100</formula>
    </cfRule>
    <cfRule type="cellIs" dxfId="12" priority="14" operator="greaterThanOrEqual">
      <formula>$J$6/100</formula>
    </cfRule>
  </conditionalFormatting>
  <conditionalFormatting sqref="J129:J133">
    <cfRule type="cellIs" dxfId="11" priority="11" operator="lessThan">
      <formula>$J$6/100</formula>
    </cfRule>
    <cfRule type="cellIs" dxfId="10" priority="12" operator="greaterThanOrEqual">
      <formula>$J$6/100</formula>
    </cfRule>
  </conditionalFormatting>
  <conditionalFormatting sqref="K129:M129 L130:L133">
    <cfRule type="cellIs" dxfId="9" priority="9" operator="lessThan">
      <formula>$J$6/100</formula>
    </cfRule>
    <cfRule type="cellIs" dxfId="8" priority="10" operator="greaterThanOrEqual">
      <formula>$J$6/100</formula>
    </cfRule>
  </conditionalFormatting>
  <conditionalFormatting sqref="J138:J142">
    <cfRule type="cellIs" dxfId="7" priority="7" operator="lessThan">
      <formula>$J$6/100</formula>
    </cfRule>
    <cfRule type="cellIs" dxfId="6" priority="8" operator="greaterThanOrEqual">
      <formula>$J$6/100</formula>
    </cfRule>
  </conditionalFormatting>
  <conditionalFormatting sqref="K138:M138 L139:L142">
    <cfRule type="cellIs" dxfId="5" priority="5" operator="lessThan">
      <formula>$J$6/100</formula>
    </cfRule>
    <cfRule type="cellIs" dxfId="4" priority="6" operator="greaterThanOrEqual">
      <formula>$J$6/100</formula>
    </cfRule>
  </conditionalFormatting>
  <conditionalFormatting sqref="J148:J152">
    <cfRule type="cellIs" dxfId="3" priority="3" operator="lessThan">
      <formula>$J$6/100</formula>
    </cfRule>
    <cfRule type="cellIs" dxfId="2" priority="4" operator="greaterThanOrEqual">
      <formula>$J$6/100</formula>
    </cfRule>
  </conditionalFormatting>
  <conditionalFormatting sqref="K148:M148 L149:L152">
    <cfRule type="cellIs" dxfId="1" priority="1" operator="lessThan">
      <formula>$J$6/100</formula>
    </cfRule>
    <cfRule type="cellIs" dxfId="0" priority="2" operator="greaterThanOrEqual">
      <formula>$J$6/100</formula>
    </cfRule>
  </conditionalFormatting>
  <pageMargins left="0.74803149606299213" right="0.74803149606299213" top="0.51181102362204722" bottom="0.74803149606299213" header="0.51181102362204722" footer="0.51181102362204722"/>
  <pageSetup paperSize="9" firstPageNumber="6" orientation="portrait" r:id="rId1"/>
  <headerFooter>
    <oddFooter>第 &amp;P 页，共 &amp;N 页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22</vt:i4>
      </vt:variant>
    </vt:vector>
  </HeadingPairs>
  <TitlesOfParts>
    <vt:vector size="23" baseType="lpstr">
      <vt:lpstr>校准结果</vt:lpstr>
      <vt:lpstr>校准结果!Print_Titles</vt:lpstr>
      <vt:lpstr>单位</vt:lpstr>
      <vt:lpstr>量程最大值</vt:lpstr>
      <vt:lpstr>量程最小值</vt:lpstr>
      <vt:lpstr>通道1</vt:lpstr>
      <vt:lpstr>通道10</vt:lpstr>
      <vt:lpstr>通道11</vt:lpstr>
      <vt:lpstr>通道12</vt:lpstr>
      <vt:lpstr>通道13</vt:lpstr>
      <vt:lpstr>通道14</vt:lpstr>
      <vt:lpstr>通道15</vt:lpstr>
      <vt:lpstr>通道16</vt:lpstr>
      <vt:lpstr>通道2</vt:lpstr>
      <vt:lpstr>通道3</vt:lpstr>
      <vt:lpstr>通道4</vt:lpstr>
      <vt:lpstr>通道5</vt:lpstr>
      <vt:lpstr>通道6</vt:lpstr>
      <vt:lpstr>通道7</vt:lpstr>
      <vt:lpstr>通道8</vt:lpstr>
      <vt:lpstr>通道9</vt:lpstr>
      <vt:lpstr>校准日期</vt:lpstr>
      <vt:lpstr>准确度等级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WTN</dc:creator>
  <cp:lastModifiedBy>Administrator</cp:lastModifiedBy>
  <cp:lastPrinted>2024-04-23T06:37:07Z</cp:lastPrinted>
  <dcterms:created xsi:type="dcterms:W3CDTF">2022-12-06T12:02:00Z</dcterms:created>
  <dcterms:modified xsi:type="dcterms:W3CDTF">2024-05-24T02:33:12Z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2052-11.1.0.9914</vt:lpwstr>
  </property>
</Properties>
</file>