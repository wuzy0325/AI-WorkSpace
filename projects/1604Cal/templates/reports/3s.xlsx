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1_WTN\01-1604\az\data\1604V2\"/>
    </mc:Choice>
  </mc:AlternateContent>
  <xr:revisionPtr revIDLastSave="0" documentId="13_ncr:1_{4C391A86-10C3-4AED-8C81-E33D7D87D90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校准结果" sheetId="16" r:id="rId1"/>
  </sheets>
  <definedNames>
    <definedName name="_xlnm.Print_Titles" localSheetId="0">校准结果!$1:$4</definedName>
    <definedName name="单位">校准结果!$K$5</definedName>
    <definedName name="量程最大值">校准结果!$K$6</definedName>
    <definedName name="量程最小值">校准结果!$I$6</definedName>
    <definedName name="通道1">校准结果!$A$10</definedName>
    <definedName name="通道10">校准结果!$A$75</definedName>
    <definedName name="通道11">校准结果!$A$82</definedName>
    <definedName name="通道12">校准结果!$A$89</definedName>
    <definedName name="通道13">校准结果!$A$98</definedName>
    <definedName name="通道14">校准结果!$A$105</definedName>
    <definedName name="通道15">校准结果!$A$112</definedName>
    <definedName name="通道16">校准结果!$A$119</definedName>
    <definedName name="通道2">校准结果!$A$17</definedName>
    <definedName name="通道3">校准结果!$A$24</definedName>
    <definedName name="通道4">校准结果!$A$31</definedName>
    <definedName name="通道5">校准结果!$A$38</definedName>
    <definedName name="通道6">校准结果!$A$45</definedName>
    <definedName name="通道7">校准结果!$A$54</definedName>
    <definedName name="通道8">校准结果!$A$61</definedName>
    <definedName name="通道9">校准结果!$A$68</definedName>
    <definedName name="校准日期">校准结果!$I$5</definedName>
    <definedName name="准确度等级">校准结果!$G$6</definedName>
  </definedNames>
  <calcPr calcId="191029"/>
</workbook>
</file>

<file path=xl/calcChain.xml><?xml version="1.0" encoding="utf-8"?>
<calcChain xmlns="http://schemas.openxmlformats.org/spreadsheetml/2006/main">
  <c r="F121" i="16" l="1"/>
  <c r="F120" i="16"/>
  <c r="F119" i="16"/>
  <c r="F118" i="16"/>
  <c r="G116" i="16"/>
  <c r="F114" i="16"/>
  <c r="F113" i="16"/>
  <c r="F112" i="16"/>
  <c r="F111" i="16"/>
  <c r="G109" i="16"/>
  <c r="F107" i="16"/>
  <c r="F106" i="16"/>
  <c r="F105" i="16"/>
  <c r="F104" i="16"/>
  <c r="G102" i="16"/>
  <c r="F100" i="16"/>
  <c r="F99" i="16"/>
  <c r="F98" i="16"/>
  <c r="F97" i="16"/>
  <c r="G95" i="16"/>
  <c r="F91" i="16"/>
  <c r="F90" i="16"/>
  <c r="F89" i="16"/>
  <c r="F88" i="16"/>
  <c r="G86" i="16"/>
  <c r="F84" i="16"/>
  <c r="F83" i="16"/>
  <c r="F82" i="16"/>
  <c r="F81" i="16"/>
  <c r="G79" i="16"/>
  <c r="F77" i="16"/>
  <c r="F76" i="16"/>
  <c r="F75" i="16"/>
  <c r="F74" i="16"/>
  <c r="G72" i="16"/>
  <c r="F70" i="16"/>
  <c r="F69" i="16"/>
  <c r="F68" i="16"/>
  <c r="F67" i="16"/>
  <c r="G65" i="16"/>
  <c r="F63" i="16"/>
  <c r="F62" i="16"/>
  <c r="F61" i="16"/>
  <c r="F60" i="16"/>
  <c r="G58" i="16"/>
  <c r="F56" i="16"/>
  <c r="F55" i="16"/>
  <c r="F54" i="16"/>
  <c r="F53" i="16"/>
  <c r="G51" i="16"/>
  <c r="F47" i="16"/>
  <c r="F46" i="16"/>
  <c r="F45" i="16"/>
  <c r="F44" i="16"/>
  <c r="G42" i="16"/>
  <c r="F40" i="16"/>
  <c r="F39" i="16"/>
  <c r="F38" i="16"/>
  <c r="F37" i="16"/>
  <c r="G35" i="16"/>
  <c r="F33" i="16"/>
  <c r="F32" i="16"/>
  <c r="F31" i="16"/>
  <c r="F30" i="16"/>
  <c r="G28" i="16"/>
  <c r="F26" i="16"/>
  <c r="F25" i="16"/>
  <c r="F24" i="16"/>
  <c r="F23" i="16"/>
  <c r="G21" i="16"/>
  <c r="F19" i="16"/>
  <c r="F18" i="16"/>
  <c r="F17" i="16"/>
  <c r="F16" i="16"/>
  <c r="G14" i="16"/>
  <c r="D116" i="16"/>
  <c r="D109" i="16"/>
  <c r="D102" i="16"/>
  <c r="D95" i="16"/>
  <c r="D86" i="16"/>
  <c r="D79" i="16"/>
  <c r="D72" i="16"/>
  <c r="D65" i="16"/>
  <c r="D58" i="16"/>
  <c r="D51" i="16"/>
  <c r="D42" i="16"/>
  <c r="D35" i="16"/>
  <c r="D28" i="16"/>
  <c r="D21" i="16"/>
  <c r="D14" i="16"/>
  <c r="D7" i="16"/>
  <c r="C121" i="16" l="1"/>
  <c r="G121" i="16" s="1"/>
  <c r="C120" i="16"/>
  <c r="G120" i="16" s="1"/>
  <c r="C119" i="16"/>
  <c r="G119" i="16" s="1"/>
  <c r="C114" i="16"/>
  <c r="G114" i="16" s="1"/>
  <c r="C113" i="16"/>
  <c r="G113" i="16" s="1"/>
  <c r="C112" i="16"/>
  <c r="G112" i="16" s="1"/>
  <c r="C107" i="16"/>
  <c r="G107" i="16" s="1"/>
  <c r="C106" i="16"/>
  <c r="G106" i="16" s="1"/>
  <c r="C105" i="16"/>
  <c r="G105" i="16" s="1"/>
  <c r="C100" i="16"/>
  <c r="G100" i="16" s="1"/>
  <c r="C99" i="16"/>
  <c r="G99" i="16" s="1"/>
  <c r="C98" i="16"/>
  <c r="G98" i="16" s="1"/>
  <c r="C91" i="16"/>
  <c r="G91" i="16" s="1"/>
  <c r="C90" i="16"/>
  <c r="G90" i="16" s="1"/>
  <c r="C89" i="16"/>
  <c r="G89" i="16" s="1"/>
  <c r="H89" i="16" s="1"/>
  <c r="C84" i="16"/>
  <c r="G84" i="16" s="1"/>
  <c r="C83" i="16"/>
  <c r="G83" i="16" s="1"/>
  <c r="C82" i="16"/>
  <c r="G82" i="16" s="1"/>
  <c r="H82" i="16" s="1"/>
  <c r="C77" i="16"/>
  <c r="G77" i="16" s="1"/>
  <c r="C76" i="16"/>
  <c r="G76" i="16" s="1"/>
  <c r="C75" i="16"/>
  <c r="G75" i="16" s="1"/>
  <c r="C70" i="16"/>
  <c r="G70" i="16" s="1"/>
  <c r="C69" i="16"/>
  <c r="G69" i="16" s="1"/>
  <c r="C68" i="16"/>
  <c r="G68" i="16" s="1"/>
  <c r="H68" i="16" s="1"/>
  <c r="C63" i="16"/>
  <c r="G63" i="16" s="1"/>
  <c r="C62" i="16"/>
  <c r="G62" i="16" s="1"/>
  <c r="C61" i="16"/>
  <c r="G61" i="16" s="1"/>
  <c r="H61" i="16" s="1"/>
  <c r="C56" i="16"/>
  <c r="G56" i="16" s="1"/>
  <c r="C55" i="16"/>
  <c r="G55" i="16" s="1"/>
  <c r="C54" i="16"/>
  <c r="G54" i="16" s="1"/>
  <c r="H54" i="16" s="1"/>
  <c r="C47" i="16"/>
  <c r="G47" i="16" s="1"/>
  <c r="C46" i="16"/>
  <c r="G46" i="16" s="1"/>
  <c r="C45" i="16"/>
  <c r="G45" i="16" s="1"/>
  <c r="H45" i="16" s="1"/>
  <c r="C40" i="16"/>
  <c r="G40" i="16" s="1"/>
  <c r="C39" i="16"/>
  <c r="G39" i="16" s="1"/>
  <c r="C38" i="16"/>
  <c r="G38" i="16" s="1"/>
  <c r="C33" i="16"/>
  <c r="G33" i="16" s="1"/>
  <c r="C32" i="16"/>
  <c r="G32" i="16" s="1"/>
  <c r="C31" i="16"/>
  <c r="G31" i="16" s="1"/>
  <c r="H31" i="16" s="1"/>
  <c r="C26" i="16"/>
  <c r="G26" i="16" s="1"/>
  <c r="C25" i="16"/>
  <c r="G25" i="16" s="1"/>
  <c r="C24" i="16"/>
  <c r="G24" i="16" s="1"/>
  <c r="C19" i="16"/>
  <c r="G19" i="16" s="1"/>
  <c r="C18" i="16"/>
  <c r="G18" i="16" s="1"/>
  <c r="C17" i="16"/>
  <c r="G17" i="16" s="1"/>
  <c r="C11" i="16"/>
  <c r="C12" i="16"/>
  <c r="C10" i="16"/>
  <c r="F9" i="16"/>
  <c r="H119" i="16" l="1"/>
  <c r="H112" i="16"/>
  <c r="H105" i="16"/>
  <c r="H98" i="16"/>
  <c r="H75" i="16"/>
  <c r="H38" i="16"/>
  <c r="H24" i="16"/>
  <c r="H17" i="16"/>
  <c r="F11" i="16"/>
  <c r="F12" i="16"/>
  <c r="F10" i="16"/>
  <c r="G7" i="16"/>
  <c r="G12" i="16" l="1"/>
  <c r="G11" i="16"/>
  <c r="G10" i="16"/>
  <c r="H10" i="16" l="1"/>
</calcChain>
</file>

<file path=xl/sharedStrings.xml><?xml version="1.0" encoding="utf-8"?>
<sst xmlns="http://schemas.openxmlformats.org/spreadsheetml/2006/main" count="210" uniqueCount="43">
  <si>
    <t>Results of Calibration</t>
  </si>
  <si>
    <t>Blank Below</t>
  </si>
  <si>
    <t>以下空白</t>
  </si>
  <si>
    <r>
      <rPr>
        <i/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%FS</t>
    </r>
    <r>
      <rPr>
        <sz val="11"/>
        <color theme="1"/>
        <rFont val="宋体"/>
        <family val="3"/>
        <charset val="134"/>
      </rPr>
      <t>）
（</t>
    </r>
    <r>
      <rPr>
        <i/>
        <sz val="11"/>
        <color theme="1"/>
        <rFont val="Times New Roman"/>
        <family val="1"/>
      </rPr>
      <t>k</t>
    </r>
    <r>
      <rPr>
        <sz val="11"/>
        <color theme="1"/>
        <rFont val="Times New Roman"/>
        <family val="1"/>
      </rPr>
      <t>=2</t>
    </r>
    <r>
      <rPr>
        <sz val="11"/>
        <color theme="1"/>
        <rFont val="宋体"/>
        <family val="3"/>
        <charset val="134"/>
      </rPr>
      <t>）</t>
    </r>
    <phoneticPr fontId="7" type="noConversion"/>
  </si>
  <si>
    <t>CH1</t>
    <phoneticPr fontId="7" type="noConversion"/>
  </si>
  <si>
    <r>
      <rPr>
        <b/>
        <sz val="11"/>
        <color theme="1"/>
        <rFont val="宋体"/>
        <family val="3"/>
        <charset val="134"/>
      </rPr>
      <t>通道编号：</t>
    </r>
    <phoneticPr fontId="7" type="noConversion"/>
  </si>
  <si>
    <t>CH2</t>
    <phoneticPr fontId="7" type="noConversion"/>
  </si>
  <si>
    <t>CH3</t>
    <phoneticPr fontId="7" type="noConversion"/>
  </si>
  <si>
    <t>CH4</t>
    <phoneticPr fontId="7" type="noConversion"/>
  </si>
  <si>
    <t>CH5</t>
    <phoneticPr fontId="7" type="noConversion"/>
  </si>
  <si>
    <t>CH6</t>
    <phoneticPr fontId="7" type="noConversion"/>
  </si>
  <si>
    <t>CH7</t>
    <phoneticPr fontId="7" type="noConversion"/>
  </si>
  <si>
    <t>CH8</t>
    <phoneticPr fontId="7" type="noConversion"/>
  </si>
  <si>
    <t>CH9</t>
    <phoneticPr fontId="7" type="noConversion"/>
  </si>
  <si>
    <t>CH10</t>
    <phoneticPr fontId="7" type="noConversion"/>
  </si>
  <si>
    <t>CH11</t>
    <phoneticPr fontId="7" type="noConversion"/>
  </si>
  <si>
    <t>CH12</t>
    <phoneticPr fontId="7" type="noConversion"/>
  </si>
  <si>
    <t>CH13</t>
    <phoneticPr fontId="7" type="noConversion"/>
  </si>
  <si>
    <t>CH14</t>
    <phoneticPr fontId="7" type="noConversion"/>
  </si>
  <si>
    <t>CH15</t>
    <phoneticPr fontId="7" type="noConversion"/>
  </si>
  <si>
    <t>CH16</t>
    <phoneticPr fontId="7" type="noConversion"/>
  </si>
  <si>
    <t>校准结果</t>
    <phoneticPr fontId="7" type="noConversion"/>
  </si>
  <si>
    <t>结果分析</t>
    <phoneticPr fontId="7" type="noConversion"/>
  </si>
  <si>
    <t>单位：</t>
    <phoneticPr fontId="7" type="noConversion"/>
  </si>
  <si>
    <t>示值误差</t>
    <phoneticPr fontId="7" type="noConversion"/>
  </si>
  <si>
    <t>标准压力值</t>
    <phoneticPr fontId="7" type="noConversion"/>
  </si>
  <si>
    <t>被校设备显示值</t>
    <phoneticPr fontId="7" type="noConversion"/>
  </si>
  <si>
    <t>设备编号：</t>
    <phoneticPr fontId="7" type="noConversion"/>
  </si>
  <si>
    <t>max</t>
    <phoneticPr fontId="7" type="noConversion"/>
  </si>
  <si>
    <t>psi</t>
    <phoneticPr fontId="7" type="noConversion"/>
  </si>
  <si>
    <t>Results analysis</t>
    <phoneticPr fontId="7" type="noConversion"/>
  </si>
  <si>
    <t>校准日期：</t>
    <phoneticPr fontId="7" type="noConversion"/>
  </si>
  <si>
    <t>丨示值误差丨
/满量程</t>
    <phoneticPr fontId="7" type="noConversion"/>
  </si>
  <si>
    <t>备注</t>
    <phoneticPr fontId="7" type="noConversion"/>
  </si>
  <si>
    <t>Min量程：</t>
    <phoneticPr fontId="7" type="noConversion"/>
  </si>
  <si>
    <t>Max量程：</t>
    <phoneticPr fontId="7" type="noConversion"/>
  </si>
  <si>
    <t>校准单位：</t>
    <phoneticPr fontId="7" type="noConversion"/>
  </si>
  <si>
    <t>准确度等级：</t>
    <phoneticPr fontId="7" type="noConversion"/>
  </si>
  <si>
    <t>证书编号：</t>
    <phoneticPr fontId="7" type="noConversion"/>
  </si>
  <si>
    <t>Certificate No.</t>
    <phoneticPr fontId="7" type="noConversion"/>
  </si>
  <si>
    <t>不合格</t>
    <phoneticPr fontId="7" type="noConversion"/>
  </si>
  <si>
    <t>合格</t>
    <phoneticPr fontId="7" type="noConversion"/>
  </si>
  <si>
    <t>示例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</si>
</sst>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_ "/>
    <numFmt numFmtId="178" formatCode="0.000%"/>
    <numFmt numFmtId="179" formatCode="0.0000"/>
  </numFmts>
  <fonts count="18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color theme="1"/>
      <name val="Times New Roman"/>
      <family val="1"/>
    </font>
    <font>
      <sz val="20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2" fillId="0" borderId="0"/>
    <xf numFmtId="0" fontId="1" fillId="0" borderId="0"/>
    <xf numFmtId="9" fontId="15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5" fillId="0" borderId="0" xfId="2" applyFont="1">
      <alignment vertical="center"/>
    </xf>
    <xf numFmtId="0" fontId="3" fillId="0" borderId="0" xfId="2" applyFont="1" applyAlignment="1">
      <alignment horizontal="center" vertical="center"/>
    </xf>
    <xf numFmtId="0" fontId="5" fillId="0" borderId="4" xfId="2" applyFont="1" applyBorder="1" applyAlignment="1" applyProtection="1">
      <alignment horizontal="center" vertical="center" wrapText="1"/>
      <protection locked="0"/>
    </xf>
    <xf numFmtId="0" fontId="5" fillId="0" borderId="0" xfId="2" applyFont="1" applyProtection="1">
      <alignment vertical="center"/>
      <protection locked="0"/>
    </xf>
    <xf numFmtId="0" fontId="3" fillId="0" borderId="0" xfId="2" applyFont="1" applyAlignment="1" applyProtection="1">
      <alignment horizontal="center" vertical="center"/>
      <protection locked="0"/>
    </xf>
    <xf numFmtId="177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2" fillId="0" borderId="4" xfId="2" applyFont="1" applyBorder="1" applyAlignment="1" applyProtection="1">
      <alignment horizontal="center" vertical="center" wrapText="1"/>
      <protection locked="0"/>
    </xf>
    <xf numFmtId="0" fontId="16" fillId="0" borderId="4" xfId="2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 wrapText="1"/>
      <protection locked="0"/>
    </xf>
    <xf numFmtId="178" fontId="5" fillId="0" borderId="1" xfId="5" applyNumberFormat="1" applyFont="1" applyBorder="1" applyAlignment="1" applyProtection="1">
      <alignment horizontal="center" vertical="center"/>
      <protection locked="0"/>
    </xf>
    <xf numFmtId="0" fontId="4" fillId="0" borderId="0" xfId="2" applyFont="1" applyAlignment="1">
      <alignment horizontal="center" vertical="center"/>
    </xf>
    <xf numFmtId="0" fontId="10" fillId="0" borderId="1" xfId="2" applyFont="1" applyBorder="1" applyAlignment="1" applyProtection="1">
      <alignment horizontal="center" vertical="center"/>
      <protection locked="0"/>
    </xf>
    <xf numFmtId="0" fontId="5" fillId="0" borderId="1" xfId="2" applyFont="1" applyBorder="1" applyAlignment="1" applyProtection="1">
      <alignment horizontal="center" vertical="center"/>
      <protection locked="0"/>
    </xf>
    <xf numFmtId="0" fontId="12" fillId="0" borderId="0" xfId="2" applyFont="1" applyAlignment="1" applyProtection="1">
      <alignment horizontal="center" vertical="center" wrapText="1"/>
      <protection locked="0"/>
    </xf>
    <xf numFmtId="0" fontId="10" fillId="0" borderId="1" xfId="2" applyFont="1" applyBorder="1" applyAlignment="1">
      <alignment horizontal="center" vertical="center" wrapText="1"/>
    </xf>
    <xf numFmtId="31" fontId="10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17" fillId="0" borderId="1" xfId="2" applyFont="1" applyBorder="1" applyAlignment="1" applyProtection="1">
      <alignment horizontal="center" vertical="center" wrapText="1"/>
      <protection locked="0"/>
    </xf>
    <xf numFmtId="179" fontId="3" fillId="0" borderId="1" xfId="0" applyNumberFormat="1" applyFont="1" applyBorder="1" applyAlignment="1">
      <alignment horizontal="center" vertical="center"/>
    </xf>
    <xf numFmtId="179" fontId="5" fillId="0" borderId="1" xfId="2" applyNumberFormat="1" applyFont="1" applyBorder="1" applyAlignment="1" applyProtection="1">
      <alignment horizontal="center" vertical="center" wrapText="1"/>
      <protection locked="0"/>
    </xf>
    <xf numFmtId="179" fontId="5" fillId="0" borderId="1" xfId="2" applyNumberFormat="1" applyFont="1" applyBorder="1" applyAlignment="1" applyProtection="1">
      <alignment horizontal="center" vertical="center"/>
      <protection locked="0"/>
    </xf>
    <xf numFmtId="0" fontId="10" fillId="0" borderId="0" xfId="2" applyFont="1" applyAlignment="1">
      <alignment horizontal="right" vertical="center"/>
    </xf>
    <xf numFmtId="0" fontId="5" fillId="0" borderId="0" xfId="2" applyFont="1" applyAlignment="1">
      <alignment horizontal="right" vertical="center"/>
    </xf>
    <xf numFmtId="0" fontId="5" fillId="0" borderId="4" xfId="2" applyFont="1" applyBorder="1" applyAlignment="1" applyProtection="1">
      <alignment horizontal="left" vertical="center" wrapText="1"/>
      <protection locked="0"/>
    </xf>
    <xf numFmtId="178" fontId="5" fillId="0" borderId="0" xfId="5" applyNumberFormat="1" applyFont="1" applyBorder="1" applyAlignment="1" applyProtection="1">
      <alignment horizontal="center" vertical="center"/>
      <protection locked="0"/>
    </xf>
    <xf numFmtId="0" fontId="16" fillId="0" borderId="0" xfId="2" applyFont="1" applyAlignment="1" applyProtection="1">
      <alignment horizontal="center" vertical="center" wrapText="1"/>
      <protection locked="0"/>
    </xf>
    <xf numFmtId="179" fontId="3" fillId="0" borderId="0" xfId="0" applyNumberFormat="1" applyFont="1" applyAlignment="1">
      <alignment horizontal="center" vertical="center"/>
    </xf>
    <xf numFmtId="179" fontId="5" fillId="0" borderId="0" xfId="2" applyNumberFormat="1" applyFont="1" applyAlignment="1" applyProtection="1">
      <alignment horizontal="center" vertical="center" wrapText="1"/>
      <protection locked="0"/>
    </xf>
    <xf numFmtId="177" fontId="5" fillId="2" borderId="0" xfId="2" applyNumberFormat="1" applyFont="1" applyFill="1" applyAlignment="1" applyProtection="1">
      <alignment horizontal="center" vertical="center" wrapText="1"/>
      <protection locked="0"/>
    </xf>
    <xf numFmtId="179" fontId="5" fillId="0" borderId="0" xfId="2" applyNumberFormat="1" applyFont="1" applyAlignment="1" applyProtection="1">
      <alignment horizontal="center" vertical="center"/>
      <protection locked="0"/>
    </xf>
    <xf numFmtId="176" fontId="5" fillId="0" borderId="3" xfId="2" applyNumberFormat="1" applyFont="1" applyBorder="1" applyAlignment="1" applyProtection="1">
      <alignment horizontal="center" vertical="center"/>
      <protection locked="0"/>
    </xf>
    <xf numFmtId="176" fontId="10" fillId="0" borderId="2" xfId="2" applyNumberFormat="1" applyFont="1" applyBorder="1" applyAlignment="1" applyProtection="1">
      <alignment horizontal="center" vertical="center"/>
      <protection locked="0"/>
    </xf>
    <xf numFmtId="0" fontId="6" fillId="2" borderId="2" xfId="2" applyFont="1" applyFill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0" fontId="10" fillId="0" borderId="1" xfId="2" applyFont="1" applyBorder="1" applyAlignment="1" applyProtection="1">
      <alignment horizontal="center" vertical="center" wrapText="1"/>
      <protection locked="0"/>
    </xf>
    <xf numFmtId="178" fontId="5" fillId="0" borderId="1" xfId="5" applyNumberFormat="1" applyFont="1" applyBorder="1" applyAlignment="1" applyProtection="1">
      <alignment horizontal="center" vertical="center"/>
      <protection locked="0"/>
    </xf>
    <xf numFmtId="176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176" fontId="5" fillId="0" borderId="1" xfId="2" applyNumberFormat="1" applyFont="1" applyBorder="1" applyAlignment="1" applyProtection="1">
      <alignment horizontal="center" vertical="center"/>
      <protection locked="0"/>
    </xf>
    <xf numFmtId="176" fontId="10" fillId="0" borderId="1" xfId="2" applyNumberFormat="1" applyFont="1" applyBorder="1" applyAlignment="1" applyProtection="1">
      <alignment horizontal="center" vertical="center" wrapText="1"/>
      <protection locked="0"/>
    </xf>
    <xf numFmtId="176" fontId="10" fillId="0" borderId="5" xfId="2" applyNumberFormat="1" applyFont="1" applyBorder="1" applyAlignment="1" applyProtection="1">
      <alignment horizontal="center" vertical="center" wrapText="1"/>
      <protection locked="0"/>
    </xf>
    <xf numFmtId="0" fontId="5" fillId="2" borderId="1" xfId="2" applyFont="1" applyFill="1" applyBorder="1" applyAlignment="1" applyProtection="1">
      <alignment horizontal="center" vertical="center" wrapText="1"/>
      <protection locked="0"/>
    </xf>
    <xf numFmtId="176" fontId="6" fillId="0" borderId="3" xfId="2" applyNumberFormat="1" applyFont="1" applyBorder="1" applyAlignment="1" applyProtection="1">
      <alignment horizontal="center" vertical="center" wrapText="1"/>
      <protection locked="0"/>
    </xf>
    <xf numFmtId="176" fontId="5" fillId="0" borderId="1" xfId="2" applyNumberFormat="1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176" fontId="6" fillId="0" borderId="1" xfId="2" applyNumberFormat="1" applyFont="1" applyBorder="1" applyAlignment="1" applyProtection="1">
      <alignment horizontal="center" vertical="center" wrapText="1"/>
      <protection locked="0"/>
    </xf>
    <xf numFmtId="0" fontId="10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8" fontId="5" fillId="0" borderId="2" xfId="5" applyNumberFormat="1" applyFont="1" applyBorder="1" applyAlignment="1" applyProtection="1">
      <alignment horizontal="center" vertical="center"/>
      <protection locked="0"/>
    </xf>
    <xf numFmtId="178" fontId="5" fillId="0" borderId="6" xfId="5" applyNumberFormat="1" applyFont="1" applyBorder="1" applyAlignment="1" applyProtection="1">
      <alignment horizontal="center" vertical="center"/>
      <protection locked="0"/>
    </xf>
    <xf numFmtId="178" fontId="5" fillId="0" borderId="3" xfId="5" applyNumberFormat="1" applyFont="1" applyBorder="1" applyAlignment="1" applyProtection="1">
      <alignment horizontal="center" vertical="center"/>
      <protection locked="0"/>
    </xf>
  </cellXfs>
  <cellStyles count="6">
    <cellStyle name="百分比" xfId="5" builtinId="5"/>
    <cellStyle name="常规" xfId="0" builtinId="0"/>
    <cellStyle name="常规 2" xfId="1" xr:uid="{00000000-0005-0000-0000-000002000000}"/>
    <cellStyle name="常规 3" xfId="2" xr:uid="{00000000-0005-0000-0000-000003000000}"/>
    <cellStyle name="常规 4" xfId="3" xr:uid="{00000000-0005-0000-0000-000004000000}"/>
    <cellStyle name="常规 5" xfId="4" xr:uid="{00000000-0005-0000-0000-000005000000}"/>
  </cellStyles>
  <dxfs count="12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1068705</xdr:colOff>
      <xdr:row>123</xdr:row>
      <xdr:rowOff>5715</xdr:rowOff>
    </xdr:from>
    <xdr:to>
      <xdr:col>2</xdr:col>
      <xdr:colOff>408305</xdr:colOff>
      <xdr:row>123</xdr:row>
      <xdr:rowOff>5715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9F8146C1-93A6-4748-BE50-C843E1297C21}"/>
            </a:ext>
          </a:extLst>
        </xdr:cNvPr>
        <xdr:cNvCxnSpPr/>
      </xdr:nvCxnSpPr>
      <xdr:spPr>
        <a:xfrm>
          <a:off x="2516505" y="38326695"/>
          <a:ext cx="787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workbookViewId="0">
      <selection activeCell="P16" sqref="P16"/>
    </sheetView>
  </sheetViews>
  <sheetFormatPr defaultColWidth="9" defaultRowHeight="15" x14ac:dyDescent="0.15"/>
  <cols>
    <col min="1" max="4" width="21.125" style="1" customWidth="1"/>
    <col min="5" max="5" width="4" style="1" customWidth="1"/>
    <col min="6" max="6" width="14.375" style="1" customWidth="1"/>
    <col min="7" max="7" width="13.625" style="1" customWidth="1"/>
    <col min="8" max="8" width="13.125" style="1" customWidth="1"/>
    <col min="9" max="9" width="13.25" style="1" customWidth="1"/>
    <col min="10" max="10" width="14.25" style="1" customWidth="1"/>
    <col min="11" max="11" width="13.5" style="1" customWidth="1"/>
    <col min="12" max="12" width="7.625" style="1" customWidth="1"/>
    <col min="13" max="16384" width="9" style="1"/>
  </cols>
  <sheetData>
    <row r="1" spans="1:12" ht="26.45" customHeight="1" x14ac:dyDescent="0.15">
      <c r="C1" s="23" t="s">
        <v>38</v>
      </c>
      <c r="D1" s="18"/>
      <c r="I1" s="51" t="s">
        <v>42</v>
      </c>
      <c r="J1" s="15" t="s">
        <v>40</v>
      </c>
      <c r="K1" s="15" t="s">
        <v>41</v>
      </c>
    </row>
    <row r="2" spans="1:12" ht="15" customHeight="1" x14ac:dyDescent="0.15">
      <c r="C2" s="24" t="s">
        <v>39</v>
      </c>
      <c r="I2" s="52"/>
      <c r="J2" s="10">
        <v>5.4000000000000001E-4</v>
      </c>
      <c r="K2" s="10">
        <v>1E-4</v>
      </c>
    </row>
    <row r="3" spans="1:12" ht="23.1" customHeight="1" x14ac:dyDescent="0.15">
      <c r="A3" s="47" t="s">
        <v>21</v>
      </c>
      <c r="B3" s="48"/>
      <c r="C3" s="48"/>
      <c r="D3" s="48"/>
      <c r="F3" s="47" t="s">
        <v>22</v>
      </c>
      <c r="G3" s="47"/>
      <c r="H3" s="47"/>
      <c r="I3" s="47"/>
      <c r="J3" s="47"/>
      <c r="K3" s="11"/>
      <c r="L3" s="11"/>
    </row>
    <row r="4" spans="1:12" ht="11.1" customHeight="1" x14ac:dyDescent="0.15">
      <c r="A4" s="49" t="s">
        <v>0</v>
      </c>
      <c r="B4" s="49"/>
      <c r="C4" s="49"/>
      <c r="D4" s="49"/>
      <c r="F4" s="45" t="s">
        <v>30</v>
      </c>
      <c r="G4" s="45"/>
      <c r="H4" s="45"/>
      <c r="I4" s="45"/>
      <c r="J4" s="45"/>
    </row>
    <row r="5" spans="1:12" ht="15" customHeight="1" x14ac:dyDescent="0.15">
      <c r="A5" s="2"/>
      <c r="B5" s="2"/>
      <c r="C5" s="2"/>
      <c r="D5" s="2"/>
      <c r="F5" s="19" t="s">
        <v>27</v>
      </c>
      <c r="G5" s="17"/>
      <c r="H5" s="19" t="s">
        <v>31</v>
      </c>
      <c r="I5" s="16"/>
      <c r="J5" s="19" t="s">
        <v>36</v>
      </c>
      <c r="K5" s="17" t="s">
        <v>29</v>
      </c>
    </row>
    <row r="6" spans="1:12" s="4" customFormat="1" ht="15" customHeight="1" x14ac:dyDescent="0.15">
      <c r="A6" s="5"/>
      <c r="B6" s="5"/>
      <c r="C6" s="5"/>
      <c r="D6" s="5"/>
      <c r="F6" s="19" t="s">
        <v>37</v>
      </c>
      <c r="G6" s="13">
        <v>0.05</v>
      </c>
      <c r="H6" s="19" t="s">
        <v>34</v>
      </c>
      <c r="I6" s="12">
        <v>0</v>
      </c>
      <c r="J6" s="19" t="s">
        <v>35</v>
      </c>
      <c r="K6" s="13">
        <v>100</v>
      </c>
    </row>
    <row r="7" spans="1:12" s="4" customFormat="1" ht="18.600000000000001" customHeight="1" x14ac:dyDescent="0.15">
      <c r="A7" s="7" t="s">
        <v>5</v>
      </c>
      <c r="B7" s="25" t="s">
        <v>4</v>
      </c>
      <c r="C7" s="27" t="s">
        <v>23</v>
      </c>
      <c r="D7" s="18" t="str">
        <f>$K$5</f>
        <v>psi</v>
      </c>
      <c r="F7" s="14" t="s">
        <v>5</v>
      </c>
      <c r="G7" s="9" t="str">
        <f>B7</f>
        <v>CH1</v>
      </c>
      <c r="I7" s="8"/>
      <c r="J7" s="3"/>
      <c r="K7" s="9"/>
    </row>
    <row r="8" spans="1:12" s="4" customFormat="1" ht="15" customHeight="1" x14ac:dyDescent="0.15">
      <c r="A8" s="34" t="s">
        <v>25</v>
      </c>
      <c r="B8" s="34" t="s">
        <v>26</v>
      </c>
      <c r="C8" s="50" t="s">
        <v>24</v>
      </c>
      <c r="D8" s="38" t="s">
        <v>3</v>
      </c>
      <c r="F8" s="33" t="s">
        <v>25</v>
      </c>
      <c r="G8" s="41" t="s">
        <v>32</v>
      </c>
      <c r="H8" s="39" t="s">
        <v>28</v>
      </c>
      <c r="I8" s="36" t="s">
        <v>33</v>
      </c>
      <c r="J8" s="36"/>
      <c r="K8" s="36"/>
    </row>
    <row r="9" spans="1:12" s="4" customFormat="1" x14ac:dyDescent="0.15">
      <c r="A9" s="35"/>
      <c r="B9" s="35"/>
      <c r="C9" s="44"/>
      <c r="D9" s="38"/>
      <c r="F9" s="32" t="str">
        <f>"（"&amp;$K$5&amp;"）"</f>
        <v>（psi）</v>
      </c>
      <c r="G9" s="40"/>
      <c r="H9" s="39"/>
      <c r="I9" s="36"/>
      <c r="J9" s="36"/>
      <c r="K9" s="36"/>
    </row>
    <row r="10" spans="1:12" s="4" customFormat="1" x14ac:dyDescent="0.15">
      <c r="A10" s="20">
        <v>0</v>
      </c>
      <c r="B10" s="20">
        <v>0</v>
      </c>
      <c r="C10" s="21">
        <f>B10-A10</f>
        <v>0</v>
      </c>
      <c r="D10" s="6">
        <v>1.2999999999999999E-2</v>
      </c>
      <c r="F10" s="22">
        <f t="shared" ref="F10:F12" si="0">A10</f>
        <v>0</v>
      </c>
      <c r="G10" s="10">
        <f t="shared" ref="G10:G12" si="1">ABS(C10)/($K$6-$I$6)</f>
        <v>0</v>
      </c>
      <c r="H10" s="53">
        <f>MAX(G10:G12)</f>
        <v>0</v>
      </c>
      <c r="I10" s="37"/>
      <c r="J10" s="37"/>
      <c r="K10" s="37"/>
    </row>
    <row r="11" spans="1:12" s="4" customFormat="1" x14ac:dyDescent="0.15">
      <c r="A11" s="20">
        <v>0</v>
      </c>
      <c r="B11" s="20">
        <v>0</v>
      </c>
      <c r="C11" s="21">
        <f t="shared" ref="C11:C12" si="2">B11-A11</f>
        <v>0</v>
      </c>
      <c r="D11" s="6">
        <v>1.2999999999999999E-2</v>
      </c>
      <c r="F11" s="22">
        <f t="shared" si="0"/>
        <v>0</v>
      </c>
      <c r="G11" s="10">
        <f t="shared" si="1"/>
        <v>0</v>
      </c>
      <c r="H11" s="54"/>
      <c r="I11" s="37"/>
      <c r="J11" s="37"/>
      <c r="K11" s="37"/>
    </row>
    <row r="12" spans="1:12" s="4" customFormat="1" x14ac:dyDescent="0.15">
      <c r="A12" s="20">
        <v>0</v>
      </c>
      <c r="B12" s="20">
        <v>0</v>
      </c>
      <c r="C12" s="21">
        <f t="shared" si="2"/>
        <v>0</v>
      </c>
      <c r="D12" s="6">
        <v>1.2999999999999999E-2</v>
      </c>
      <c r="F12" s="22">
        <f t="shared" si="0"/>
        <v>0</v>
      </c>
      <c r="G12" s="10">
        <f t="shared" si="1"/>
        <v>0</v>
      </c>
      <c r="H12" s="55"/>
      <c r="I12" s="37"/>
      <c r="J12" s="37"/>
      <c r="K12" s="37"/>
    </row>
    <row r="13" spans="1:12" s="4" customFormat="1" x14ac:dyDescent="0.15">
      <c r="A13" s="28"/>
      <c r="B13" s="28"/>
      <c r="C13" s="29"/>
      <c r="D13" s="30"/>
      <c r="F13" s="31"/>
      <c r="G13" s="31"/>
      <c r="H13" s="26"/>
      <c r="I13" s="26"/>
      <c r="J13" s="26"/>
      <c r="K13" s="26"/>
    </row>
    <row r="14" spans="1:12" x14ac:dyDescent="0.15">
      <c r="A14" s="7" t="s">
        <v>5</v>
      </c>
      <c r="B14" s="25" t="s">
        <v>6</v>
      </c>
      <c r="C14" s="8" t="s">
        <v>23</v>
      </c>
      <c r="D14" s="18" t="str">
        <f>$K$5</f>
        <v>psi</v>
      </c>
      <c r="F14" s="14" t="s">
        <v>5</v>
      </c>
      <c r="G14" s="9" t="str">
        <f>B14</f>
        <v>CH2</v>
      </c>
      <c r="H14" s="4"/>
      <c r="I14" s="8"/>
      <c r="J14" s="3"/>
      <c r="K14" s="9"/>
    </row>
    <row r="15" spans="1:12" ht="15" customHeight="1" x14ac:dyDescent="0.15">
      <c r="A15" s="35" t="s">
        <v>25</v>
      </c>
      <c r="B15" s="34" t="s">
        <v>26</v>
      </c>
      <c r="C15" s="43" t="s">
        <v>24</v>
      </c>
      <c r="D15" s="38" t="s">
        <v>3</v>
      </c>
      <c r="F15" s="33" t="s">
        <v>25</v>
      </c>
      <c r="G15" s="41" t="s">
        <v>32</v>
      </c>
      <c r="H15" s="39" t="s">
        <v>28</v>
      </c>
      <c r="I15" s="36" t="s">
        <v>33</v>
      </c>
      <c r="J15" s="36"/>
      <c r="K15" s="36"/>
    </row>
    <row r="16" spans="1:12" x14ac:dyDescent="0.15">
      <c r="A16" s="42"/>
      <c r="B16" s="35"/>
      <c r="C16" s="44"/>
      <c r="D16" s="38"/>
      <c r="F16" s="32" t="str">
        <f>"（"&amp;$K$5&amp;"）"</f>
        <v>（psi）</v>
      </c>
      <c r="G16" s="40"/>
      <c r="H16" s="39"/>
      <c r="I16" s="36"/>
      <c r="J16" s="36"/>
      <c r="K16" s="36"/>
    </row>
    <row r="17" spans="1:11" x14ac:dyDescent="0.15">
      <c r="A17" s="20">
        <v>0</v>
      </c>
      <c r="B17" s="20">
        <v>0</v>
      </c>
      <c r="C17" s="21">
        <f>B17-A17</f>
        <v>0</v>
      </c>
      <c r="D17" s="6">
        <v>1.2999999999999999E-2</v>
      </c>
      <c r="F17" s="22">
        <f t="shared" ref="F17:F19" si="3">A17</f>
        <v>0</v>
      </c>
      <c r="G17" s="10">
        <f t="shared" ref="G17:G19" si="4">ABS(C17)/($K$6-$I$6)</f>
        <v>0</v>
      </c>
      <c r="H17" s="53">
        <f>MAX(G17:G19)</f>
        <v>0</v>
      </c>
      <c r="I17" s="37"/>
      <c r="J17" s="37"/>
      <c r="K17" s="37"/>
    </row>
    <row r="18" spans="1:11" x14ac:dyDescent="0.15">
      <c r="A18" s="20">
        <v>0</v>
      </c>
      <c r="B18" s="20">
        <v>0</v>
      </c>
      <c r="C18" s="21">
        <f t="shared" ref="C18:C19" si="5">B18-A18</f>
        <v>0</v>
      </c>
      <c r="D18" s="6">
        <v>1.2999999999999999E-2</v>
      </c>
      <c r="F18" s="22">
        <f t="shared" si="3"/>
        <v>0</v>
      </c>
      <c r="G18" s="10">
        <f t="shared" si="4"/>
        <v>0</v>
      </c>
      <c r="H18" s="54"/>
      <c r="I18" s="37"/>
      <c r="J18" s="37"/>
      <c r="K18" s="37"/>
    </row>
    <row r="19" spans="1:11" x14ac:dyDescent="0.15">
      <c r="A19" s="20">
        <v>0</v>
      </c>
      <c r="B19" s="20">
        <v>0</v>
      </c>
      <c r="C19" s="21">
        <f t="shared" si="5"/>
        <v>0</v>
      </c>
      <c r="D19" s="6">
        <v>1.2999999999999999E-2</v>
      </c>
      <c r="F19" s="22">
        <f t="shared" si="3"/>
        <v>0</v>
      </c>
      <c r="G19" s="10">
        <f t="shared" si="4"/>
        <v>0</v>
      </c>
      <c r="H19" s="55"/>
      <c r="I19" s="37"/>
      <c r="J19" s="37"/>
      <c r="K19" s="37"/>
    </row>
    <row r="20" spans="1:11" x14ac:dyDescent="0.15">
      <c r="A20" s="28"/>
      <c r="B20" s="28"/>
      <c r="C20" s="29"/>
      <c r="D20" s="30"/>
      <c r="F20" s="31"/>
      <c r="G20" s="31"/>
      <c r="H20" s="26"/>
      <c r="I20" s="26"/>
      <c r="J20" s="26"/>
      <c r="K20" s="26"/>
    </row>
    <row r="21" spans="1:11" x14ac:dyDescent="0.15">
      <c r="A21" s="7" t="s">
        <v>5</v>
      </c>
      <c r="B21" s="25" t="s">
        <v>7</v>
      </c>
      <c r="C21" s="8" t="s">
        <v>23</v>
      </c>
      <c r="D21" s="18" t="str">
        <f>$K$5</f>
        <v>psi</v>
      </c>
      <c r="F21" s="14" t="s">
        <v>5</v>
      </c>
      <c r="G21" s="9" t="str">
        <f>B21</f>
        <v>CH3</v>
      </c>
      <c r="H21" s="4"/>
      <c r="I21" s="8"/>
      <c r="J21" s="3"/>
      <c r="K21" s="9"/>
    </row>
    <row r="22" spans="1:11" ht="15" customHeight="1" x14ac:dyDescent="0.15">
      <c r="A22" s="35" t="s">
        <v>25</v>
      </c>
      <c r="B22" s="34" t="s">
        <v>26</v>
      </c>
      <c r="C22" s="43" t="s">
        <v>24</v>
      </c>
      <c r="D22" s="38" t="s">
        <v>3</v>
      </c>
      <c r="F22" s="33" t="s">
        <v>25</v>
      </c>
      <c r="G22" s="41" t="s">
        <v>32</v>
      </c>
      <c r="H22" s="39" t="s">
        <v>28</v>
      </c>
      <c r="I22" s="36" t="s">
        <v>33</v>
      </c>
      <c r="J22" s="36"/>
      <c r="K22" s="36"/>
    </row>
    <row r="23" spans="1:11" x14ac:dyDescent="0.15">
      <c r="A23" s="42"/>
      <c r="B23" s="35"/>
      <c r="C23" s="44"/>
      <c r="D23" s="38"/>
      <c r="F23" s="32" t="str">
        <f>"（"&amp;$K$5&amp;"）"</f>
        <v>（psi）</v>
      </c>
      <c r="G23" s="40"/>
      <c r="H23" s="39"/>
      <c r="I23" s="36"/>
      <c r="J23" s="36"/>
      <c r="K23" s="36"/>
    </row>
    <row r="24" spans="1:11" x14ac:dyDescent="0.15">
      <c r="A24" s="20">
        <v>0</v>
      </c>
      <c r="B24" s="20">
        <v>0</v>
      </c>
      <c r="C24" s="21">
        <f>B24-A24</f>
        <v>0</v>
      </c>
      <c r="D24" s="6">
        <v>1.2999999999999999E-2</v>
      </c>
      <c r="F24" s="22">
        <f t="shared" ref="F24:F26" si="6">A24</f>
        <v>0</v>
      </c>
      <c r="G24" s="10">
        <f t="shared" ref="G24:G26" si="7">ABS(C24)/($K$6-$I$6)</f>
        <v>0</v>
      </c>
      <c r="H24" s="53">
        <f>MAX(G24:G26)</f>
        <v>0</v>
      </c>
      <c r="I24" s="37"/>
      <c r="J24" s="37"/>
      <c r="K24" s="37"/>
    </row>
    <row r="25" spans="1:11" x14ac:dyDescent="0.15">
      <c r="A25" s="20">
        <v>0</v>
      </c>
      <c r="B25" s="20">
        <v>0</v>
      </c>
      <c r="C25" s="21">
        <f t="shared" ref="C25:C26" si="8">B25-A25</f>
        <v>0</v>
      </c>
      <c r="D25" s="6">
        <v>1.2999999999999999E-2</v>
      </c>
      <c r="F25" s="22">
        <f t="shared" si="6"/>
        <v>0</v>
      </c>
      <c r="G25" s="10">
        <f t="shared" si="7"/>
        <v>0</v>
      </c>
      <c r="H25" s="54"/>
      <c r="I25" s="37"/>
      <c r="J25" s="37"/>
      <c r="K25" s="37"/>
    </row>
    <row r="26" spans="1:11" x14ac:dyDescent="0.15">
      <c r="A26" s="20">
        <v>0</v>
      </c>
      <c r="B26" s="20">
        <v>0</v>
      </c>
      <c r="C26" s="21">
        <f t="shared" si="8"/>
        <v>0</v>
      </c>
      <c r="D26" s="6">
        <v>1.2999999999999999E-2</v>
      </c>
      <c r="F26" s="22">
        <f t="shared" si="6"/>
        <v>0</v>
      </c>
      <c r="G26" s="10">
        <f t="shared" si="7"/>
        <v>0</v>
      </c>
      <c r="H26" s="55"/>
      <c r="I26" s="37"/>
      <c r="J26" s="37"/>
      <c r="K26" s="37"/>
    </row>
    <row r="27" spans="1:11" x14ac:dyDescent="0.15">
      <c r="A27" s="28"/>
      <c r="B27" s="28"/>
      <c r="C27" s="29"/>
      <c r="D27" s="30"/>
      <c r="F27" s="31"/>
      <c r="G27" s="31"/>
      <c r="H27" s="26"/>
      <c r="I27" s="26"/>
      <c r="J27" s="26"/>
      <c r="K27" s="26"/>
    </row>
    <row r="28" spans="1:11" x14ac:dyDescent="0.15">
      <c r="A28" s="7" t="s">
        <v>5</v>
      </c>
      <c r="B28" s="25" t="s">
        <v>8</v>
      </c>
      <c r="C28" s="8" t="s">
        <v>23</v>
      </c>
      <c r="D28" s="18" t="str">
        <f>$K$5</f>
        <v>psi</v>
      </c>
      <c r="F28" s="14" t="s">
        <v>5</v>
      </c>
      <c r="G28" s="9" t="str">
        <f>B28</f>
        <v>CH4</v>
      </c>
      <c r="H28" s="4"/>
      <c r="I28" s="8"/>
      <c r="J28" s="3"/>
      <c r="K28" s="9"/>
    </row>
    <row r="29" spans="1:11" ht="15" customHeight="1" x14ac:dyDescent="0.15">
      <c r="A29" s="35" t="s">
        <v>25</v>
      </c>
      <c r="B29" s="34" t="s">
        <v>26</v>
      </c>
      <c r="C29" s="43" t="s">
        <v>24</v>
      </c>
      <c r="D29" s="38" t="s">
        <v>3</v>
      </c>
      <c r="F29" s="33" t="s">
        <v>25</v>
      </c>
      <c r="G29" s="41" t="s">
        <v>32</v>
      </c>
      <c r="H29" s="39" t="s">
        <v>28</v>
      </c>
      <c r="I29" s="36" t="s">
        <v>33</v>
      </c>
      <c r="J29" s="36"/>
      <c r="K29" s="36"/>
    </row>
    <row r="30" spans="1:11" x14ac:dyDescent="0.15">
      <c r="A30" s="42"/>
      <c r="B30" s="35"/>
      <c r="C30" s="44"/>
      <c r="D30" s="38"/>
      <c r="F30" s="32" t="str">
        <f>"（"&amp;$K$5&amp;"）"</f>
        <v>（psi）</v>
      </c>
      <c r="G30" s="40"/>
      <c r="H30" s="39"/>
      <c r="I30" s="36"/>
      <c r="J30" s="36"/>
      <c r="K30" s="36"/>
    </row>
    <row r="31" spans="1:11" x14ac:dyDescent="0.15">
      <c r="A31" s="20">
        <v>0</v>
      </c>
      <c r="B31" s="20">
        <v>0</v>
      </c>
      <c r="C31" s="21">
        <f>B31-A31</f>
        <v>0</v>
      </c>
      <c r="D31" s="6">
        <v>1.2999999999999999E-2</v>
      </c>
      <c r="F31" s="22">
        <f t="shared" ref="F31:F33" si="9">A31</f>
        <v>0</v>
      </c>
      <c r="G31" s="10">
        <f t="shared" ref="G31:G33" si="10">ABS(C31)/($K$6-$I$6)</f>
        <v>0</v>
      </c>
      <c r="H31" s="53">
        <f>MAX(G31:G33)</f>
        <v>0</v>
      </c>
      <c r="I31" s="37"/>
      <c r="J31" s="37"/>
      <c r="K31" s="37"/>
    </row>
    <row r="32" spans="1:11" x14ac:dyDescent="0.15">
      <c r="A32" s="20">
        <v>0</v>
      </c>
      <c r="B32" s="20">
        <v>0</v>
      </c>
      <c r="C32" s="21">
        <f t="shared" ref="C32:C33" si="11">B32-A32</f>
        <v>0</v>
      </c>
      <c r="D32" s="6">
        <v>1.2999999999999999E-2</v>
      </c>
      <c r="F32" s="22">
        <f t="shared" si="9"/>
        <v>0</v>
      </c>
      <c r="G32" s="10">
        <f t="shared" si="10"/>
        <v>0</v>
      </c>
      <c r="H32" s="54"/>
      <c r="I32" s="37"/>
      <c r="J32" s="37"/>
      <c r="K32" s="37"/>
    </row>
    <row r="33" spans="1:11" x14ac:dyDescent="0.15">
      <c r="A33" s="20">
        <v>0</v>
      </c>
      <c r="B33" s="20">
        <v>0</v>
      </c>
      <c r="C33" s="21">
        <f t="shared" si="11"/>
        <v>0</v>
      </c>
      <c r="D33" s="6">
        <v>1.2999999999999999E-2</v>
      </c>
      <c r="F33" s="22">
        <f t="shared" si="9"/>
        <v>0</v>
      </c>
      <c r="G33" s="10">
        <f t="shared" si="10"/>
        <v>0</v>
      </c>
      <c r="H33" s="55"/>
      <c r="I33" s="37"/>
      <c r="J33" s="37"/>
      <c r="K33" s="37"/>
    </row>
    <row r="34" spans="1:11" x14ac:dyDescent="0.15">
      <c r="A34" s="28"/>
      <c r="B34" s="28"/>
      <c r="C34" s="29"/>
      <c r="D34" s="30"/>
      <c r="F34" s="31"/>
      <c r="G34" s="31"/>
      <c r="H34" s="26"/>
      <c r="I34" s="26"/>
      <c r="J34" s="26"/>
      <c r="K34" s="26"/>
    </row>
    <row r="35" spans="1:11" x14ac:dyDescent="0.15">
      <c r="A35" s="7" t="s">
        <v>5</v>
      </c>
      <c r="B35" s="25" t="s">
        <v>9</v>
      </c>
      <c r="C35" s="8" t="s">
        <v>23</v>
      </c>
      <c r="D35" s="18" t="str">
        <f>$K$5</f>
        <v>psi</v>
      </c>
      <c r="F35" s="14" t="s">
        <v>5</v>
      </c>
      <c r="G35" s="9" t="str">
        <f>B35</f>
        <v>CH5</v>
      </c>
      <c r="H35" s="4"/>
      <c r="I35" s="8"/>
      <c r="J35" s="3"/>
      <c r="K35" s="9"/>
    </row>
    <row r="36" spans="1:11" ht="15" customHeight="1" x14ac:dyDescent="0.15">
      <c r="A36" s="35" t="s">
        <v>25</v>
      </c>
      <c r="B36" s="34" t="s">
        <v>26</v>
      </c>
      <c r="C36" s="43" t="s">
        <v>24</v>
      </c>
      <c r="D36" s="38" t="s">
        <v>3</v>
      </c>
      <c r="F36" s="33" t="s">
        <v>25</v>
      </c>
      <c r="G36" s="41" t="s">
        <v>32</v>
      </c>
      <c r="H36" s="39" t="s">
        <v>28</v>
      </c>
      <c r="I36" s="36" t="s">
        <v>33</v>
      </c>
      <c r="J36" s="36"/>
      <c r="K36" s="36"/>
    </row>
    <row r="37" spans="1:11" x14ac:dyDescent="0.15">
      <c r="A37" s="42"/>
      <c r="B37" s="35"/>
      <c r="C37" s="44"/>
      <c r="D37" s="38"/>
      <c r="F37" s="32" t="str">
        <f>"（"&amp;$K$5&amp;"）"</f>
        <v>（psi）</v>
      </c>
      <c r="G37" s="40"/>
      <c r="H37" s="39"/>
      <c r="I37" s="36"/>
      <c r="J37" s="36"/>
      <c r="K37" s="36"/>
    </row>
    <row r="38" spans="1:11" x14ac:dyDescent="0.15">
      <c r="A38" s="20">
        <v>0</v>
      </c>
      <c r="B38" s="20">
        <v>0</v>
      </c>
      <c r="C38" s="21">
        <f>B38-A38</f>
        <v>0</v>
      </c>
      <c r="D38" s="6">
        <v>1.2999999999999999E-2</v>
      </c>
      <c r="F38" s="22">
        <f t="shared" ref="F38:F40" si="12">A38</f>
        <v>0</v>
      </c>
      <c r="G38" s="10">
        <f t="shared" ref="G38:G40" si="13">ABS(C38)/($K$6-$I$6)</f>
        <v>0</v>
      </c>
      <c r="H38" s="53">
        <f>MAX(G38:G40)</f>
        <v>0</v>
      </c>
      <c r="I38" s="37"/>
      <c r="J38" s="37"/>
      <c r="K38" s="37"/>
    </row>
    <row r="39" spans="1:11" x14ac:dyDescent="0.15">
      <c r="A39" s="20">
        <v>0</v>
      </c>
      <c r="B39" s="20">
        <v>0</v>
      </c>
      <c r="C39" s="21">
        <f t="shared" ref="C39:C40" si="14">B39-A39</f>
        <v>0</v>
      </c>
      <c r="D39" s="6">
        <v>1.2999999999999999E-2</v>
      </c>
      <c r="F39" s="22">
        <f t="shared" si="12"/>
        <v>0</v>
      </c>
      <c r="G39" s="10">
        <f t="shared" si="13"/>
        <v>0</v>
      </c>
      <c r="H39" s="54"/>
      <c r="I39" s="37"/>
      <c r="J39" s="37"/>
      <c r="K39" s="37"/>
    </row>
    <row r="40" spans="1:11" x14ac:dyDescent="0.15">
      <c r="A40" s="20">
        <v>0</v>
      </c>
      <c r="B40" s="20">
        <v>0</v>
      </c>
      <c r="C40" s="21">
        <f t="shared" si="14"/>
        <v>0</v>
      </c>
      <c r="D40" s="6">
        <v>1.2999999999999999E-2</v>
      </c>
      <c r="F40" s="22">
        <f t="shared" si="12"/>
        <v>0</v>
      </c>
      <c r="G40" s="10">
        <f t="shared" si="13"/>
        <v>0</v>
      </c>
      <c r="H40" s="55"/>
      <c r="I40" s="37"/>
      <c r="J40" s="37"/>
      <c r="K40" s="37"/>
    </row>
    <row r="41" spans="1:11" x14ac:dyDescent="0.15">
      <c r="A41" s="28"/>
      <c r="B41" s="28"/>
      <c r="C41" s="29"/>
      <c r="D41" s="30"/>
      <c r="F41" s="31"/>
      <c r="G41" s="26"/>
      <c r="H41" s="26"/>
      <c r="I41" s="26"/>
      <c r="J41" s="26"/>
      <c r="K41" s="26"/>
    </row>
    <row r="42" spans="1:11" x14ac:dyDescent="0.15">
      <c r="A42" s="7" t="s">
        <v>5</v>
      </c>
      <c r="B42" s="25" t="s">
        <v>10</v>
      </c>
      <c r="C42" s="8" t="s">
        <v>23</v>
      </c>
      <c r="D42" s="18" t="str">
        <f>$K$5</f>
        <v>psi</v>
      </c>
      <c r="F42" s="14" t="s">
        <v>5</v>
      </c>
      <c r="G42" s="9" t="str">
        <f>B42</f>
        <v>CH6</v>
      </c>
      <c r="H42" s="4"/>
      <c r="I42" s="8"/>
      <c r="J42" s="3"/>
      <c r="K42" s="9"/>
    </row>
    <row r="43" spans="1:11" ht="15" customHeight="1" x14ac:dyDescent="0.15">
      <c r="A43" s="35" t="s">
        <v>25</v>
      </c>
      <c r="B43" s="34" t="s">
        <v>26</v>
      </c>
      <c r="C43" s="43" t="s">
        <v>24</v>
      </c>
      <c r="D43" s="38" t="s">
        <v>3</v>
      </c>
      <c r="F43" s="33" t="s">
        <v>25</v>
      </c>
      <c r="G43" s="41" t="s">
        <v>32</v>
      </c>
      <c r="H43" s="39" t="s">
        <v>28</v>
      </c>
      <c r="I43" s="36" t="s">
        <v>33</v>
      </c>
      <c r="J43" s="36"/>
      <c r="K43" s="36"/>
    </row>
    <row r="44" spans="1:11" x14ac:dyDescent="0.15">
      <c r="A44" s="42"/>
      <c r="B44" s="35"/>
      <c r="C44" s="44"/>
      <c r="D44" s="38"/>
      <c r="F44" s="32" t="str">
        <f>"（"&amp;$K$5&amp;"）"</f>
        <v>（psi）</v>
      </c>
      <c r="G44" s="40"/>
      <c r="H44" s="39"/>
      <c r="I44" s="36"/>
      <c r="J44" s="36"/>
      <c r="K44" s="36"/>
    </row>
    <row r="45" spans="1:11" x14ac:dyDescent="0.15">
      <c r="A45" s="20">
        <v>0</v>
      </c>
      <c r="B45" s="20">
        <v>0</v>
      </c>
      <c r="C45" s="21">
        <f>B45-A45</f>
        <v>0</v>
      </c>
      <c r="D45" s="6">
        <v>1.2999999999999999E-2</v>
      </c>
      <c r="F45" s="22">
        <f t="shared" ref="F45:F47" si="15">A45</f>
        <v>0</v>
      </c>
      <c r="G45" s="10">
        <f t="shared" ref="G45:G47" si="16">ABS(C45)/($K$6-$I$6)</f>
        <v>0</v>
      </c>
      <c r="H45" s="53">
        <f>MAX(G45:G47)</f>
        <v>0</v>
      </c>
      <c r="I45" s="37"/>
      <c r="J45" s="37"/>
      <c r="K45" s="37"/>
    </row>
    <row r="46" spans="1:11" x14ac:dyDescent="0.15">
      <c r="A46" s="20">
        <v>0</v>
      </c>
      <c r="B46" s="20">
        <v>0</v>
      </c>
      <c r="C46" s="21">
        <f t="shared" ref="C46:C47" si="17">B46-A46</f>
        <v>0</v>
      </c>
      <c r="D46" s="6">
        <v>1.2999999999999999E-2</v>
      </c>
      <c r="F46" s="22">
        <f t="shared" si="15"/>
        <v>0</v>
      </c>
      <c r="G46" s="10">
        <f t="shared" si="16"/>
        <v>0</v>
      </c>
      <c r="H46" s="54"/>
      <c r="I46" s="37"/>
      <c r="J46" s="37"/>
      <c r="K46" s="37"/>
    </row>
    <row r="47" spans="1:11" x14ac:dyDescent="0.15">
      <c r="A47" s="20">
        <v>0</v>
      </c>
      <c r="B47" s="20">
        <v>0</v>
      </c>
      <c r="C47" s="21">
        <f t="shared" si="17"/>
        <v>0</v>
      </c>
      <c r="D47" s="6">
        <v>1.2999999999999999E-2</v>
      </c>
      <c r="F47" s="22">
        <f t="shared" si="15"/>
        <v>0</v>
      </c>
      <c r="G47" s="10">
        <f t="shared" si="16"/>
        <v>0</v>
      </c>
      <c r="H47" s="55"/>
      <c r="I47" s="37"/>
      <c r="J47" s="37"/>
      <c r="K47" s="37"/>
    </row>
    <row r="48" spans="1:11" x14ac:dyDescent="0.15">
      <c r="A48" s="28"/>
      <c r="B48" s="28"/>
      <c r="C48" s="29"/>
      <c r="D48" s="30"/>
      <c r="F48" s="31"/>
      <c r="G48" s="31"/>
      <c r="H48" s="26"/>
      <c r="I48" s="26"/>
      <c r="J48" s="26"/>
      <c r="K48" s="26"/>
    </row>
    <row r="49" spans="1:11" x14ac:dyDescent="0.15">
      <c r="A49" s="28"/>
      <c r="B49" s="28"/>
      <c r="C49" s="29"/>
      <c r="D49" s="30"/>
      <c r="F49" s="31"/>
      <c r="G49" s="31"/>
      <c r="H49" s="26"/>
      <c r="I49" s="26"/>
      <c r="J49" s="26"/>
      <c r="K49" s="26"/>
    </row>
    <row r="51" spans="1:11" x14ac:dyDescent="0.15">
      <c r="A51" s="7" t="s">
        <v>5</v>
      </c>
      <c r="B51" s="25" t="s">
        <v>11</v>
      </c>
      <c r="C51" s="8" t="s">
        <v>23</v>
      </c>
      <c r="D51" s="18" t="str">
        <f>$K$5</f>
        <v>psi</v>
      </c>
      <c r="F51" s="14" t="s">
        <v>5</v>
      </c>
      <c r="G51" s="9" t="str">
        <f>B51</f>
        <v>CH7</v>
      </c>
      <c r="H51" s="4"/>
      <c r="I51" s="8"/>
      <c r="J51" s="3"/>
      <c r="K51" s="9"/>
    </row>
    <row r="52" spans="1:11" ht="15" customHeight="1" x14ac:dyDescent="0.15">
      <c r="A52" s="35" t="s">
        <v>25</v>
      </c>
      <c r="B52" s="34" t="s">
        <v>26</v>
      </c>
      <c r="C52" s="43" t="s">
        <v>24</v>
      </c>
      <c r="D52" s="38" t="s">
        <v>3</v>
      </c>
      <c r="F52" s="33" t="s">
        <v>25</v>
      </c>
      <c r="G52" s="41" t="s">
        <v>32</v>
      </c>
      <c r="H52" s="39" t="s">
        <v>28</v>
      </c>
      <c r="I52" s="36" t="s">
        <v>33</v>
      </c>
      <c r="J52" s="36"/>
      <c r="K52" s="36"/>
    </row>
    <row r="53" spans="1:11" x14ac:dyDescent="0.15">
      <c r="A53" s="42"/>
      <c r="B53" s="35"/>
      <c r="C53" s="44"/>
      <c r="D53" s="38"/>
      <c r="F53" s="32" t="str">
        <f>"（"&amp;$K$5&amp;"）"</f>
        <v>（psi）</v>
      </c>
      <c r="G53" s="40"/>
      <c r="H53" s="39"/>
      <c r="I53" s="36"/>
      <c r="J53" s="36"/>
      <c r="K53" s="36"/>
    </row>
    <row r="54" spans="1:11" x14ac:dyDescent="0.15">
      <c r="A54" s="20">
        <v>0</v>
      </c>
      <c r="B54" s="20">
        <v>0</v>
      </c>
      <c r="C54" s="21">
        <f>B54-A54</f>
        <v>0</v>
      </c>
      <c r="D54" s="6">
        <v>1.2999999999999999E-2</v>
      </c>
      <c r="F54" s="22">
        <f t="shared" ref="F54:F56" si="18">A54</f>
        <v>0</v>
      </c>
      <c r="G54" s="10">
        <f t="shared" ref="G54:G56" si="19">ABS(C54)/($K$6-$I$6)</f>
        <v>0</v>
      </c>
      <c r="H54" s="53">
        <f>MAX(G54:G56)</f>
        <v>0</v>
      </c>
      <c r="I54" s="37"/>
      <c r="J54" s="37"/>
      <c r="K54" s="37"/>
    </row>
    <row r="55" spans="1:11" x14ac:dyDescent="0.15">
      <c r="A55" s="20">
        <v>0</v>
      </c>
      <c r="B55" s="20">
        <v>0</v>
      </c>
      <c r="C55" s="21">
        <f t="shared" ref="C55:C56" si="20">B55-A55</f>
        <v>0</v>
      </c>
      <c r="D55" s="6">
        <v>1.2999999999999999E-2</v>
      </c>
      <c r="F55" s="22">
        <f t="shared" si="18"/>
        <v>0</v>
      </c>
      <c r="G55" s="10">
        <f t="shared" si="19"/>
        <v>0</v>
      </c>
      <c r="H55" s="54"/>
      <c r="I55" s="37"/>
      <c r="J55" s="37"/>
      <c r="K55" s="37"/>
    </row>
    <row r="56" spans="1:11" x14ac:dyDescent="0.15">
      <c r="A56" s="20">
        <v>0</v>
      </c>
      <c r="B56" s="20">
        <v>0</v>
      </c>
      <c r="C56" s="21">
        <f t="shared" si="20"/>
        <v>0</v>
      </c>
      <c r="D56" s="6">
        <v>1.2999999999999999E-2</v>
      </c>
      <c r="F56" s="22">
        <f t="shared" si="18"/>
        <v>0</v>
      </c>
      <c r="G56" s="10">
        <f t="shared" si="19"/>
        <v>0</v>
      </c>
      <c r="H56" s="55"/>
      <c r="I56" s="37"/>
      <c r="J56" s="37"/>
      <c r="K56" s="37"/>
    </row>
    <row r="57" spans="1:11" x14ac:dyDescent="0.15">
      <c r="A57" s="28"/>
      <c r="B57" s="28"/>
      <c r="C57" s="29"/>
      <c r="D57" s="30"/>
      <c r="F57" s="31"/>
      <c r="G57" s="31"/>
      <c r="H57" s="26"/>
      <c r="I57" s="26"/>
      <c r="J57" s="26"/>
      <c r="K57" s="26"/>
    </row>
    <row r="58" spans="1:11" x14ac:dyDescent="0.15">
      <c r="A58" s="7" t="s">
        <v>5</v>
      </c>
      <c r="B58" s="25" t="s">
        <v>12</v>
      </c>
      <c r="C58" s="8" t="s">
        <v>23</v>
      </c>
      <c r="D58" s="18" t="str">
        <f>$K$5</f>
        <v>psi</v>
      </c>
      <c r="F58" s="14" t="s">
        <v>5</v>
      </c>
      <c r="G58" s="9" t="str">
        <f>B58</f>
        <v>CH8</v>
      </c>
      <c r="H58" s="4"/>
      <c r="I58" s="8"/>
      <c r="J58" s="3"/>
      <c r="K58" s="9"/>
    </row>
    <row r="59" spans="1:11" ht="15" customHeight="1" x14ac:dyDescent="0.15">
      <c r="A59" s="35" t="s">
        <v>25</v>
      </c>
      <c r="B59" s="34" t="s">
        <v>26</v>
      </c>
      <c r="C59" s="43" t="s">
        <v>24</v>
      </c>
      <c r="D59" s="38" t="s">
        <v>3</v>
      </c>
      <c r="F59" s="33" t="s">
        <v>25</v>
      </c>
      <c r="G59" s="41" t="s">
        <v>32</v>
      </c>
      <c r="H59" s="39" t="s">
        <v>28</v>
      </c>
      <c r="I59" s="36" t="s">
        <v>33</v>
      </c>
      <c r="J59" s="36"/>
      <c r="K59" s="36"/>
    </row>
    <row r="60" spans="1:11" x14ac:dyDescent="0.15">
      <c r="A60" s="42"/>
      <c r="B60" s="35"/>
      <c r="C60" s="44"/>
      <c r="D60" s="38"/>
      <c r="F60" s="32" t="str">
        <f>"（"&amp;$K$5&amp;"）"</f>
        <v>（psi）</v>
      </c>
      <c r="G60" s="40"/>
      <c r="H60" s="39"/>
      <c r="I60" s="36"/>
      <c r="J60" s="36"/>
      <c r="K60" s="36"/>
    </row>
    <row r="61" spans="1:11" x14ac:dyDescent="0.15">
      <c r="A61" s="20">
        <v>0</v>
      </c>
      <c r="B61" s="20">
        <v>0</v>
      </c>
      <c r="C61" s="21">
        <f>B61-A61</f>
        <v>0</v>
      </c>
      <c r="D61" s="6">
        <v>1.2999999999999999E-2</v>
      </c>
      <c r="F61" s="22">
        <f t="shared" ref="F61:F63" si="21">A61</f>
        <v>0</v>
      </c>
      <c r="G61" s="10">
        <f t="shared" ref="G61:G63" si="22">ABS(C61)/($K$6-$I$6)</f>
        <v>0</v>
      </c>
      <c r="H61" s="53">
        <f>MAX(G61:G63)</f>
        <v>0</v>
      </c>
      <c r="I61" s="37"/>
      <c r="J61" s="37"/>
      <c r="K61" s="37"/>
    </row>
    <row r="62" spans="1:11" x14ac:dyDescent="0.15">
      <c r="A62" s="20">
        <v>0</v>
      </c>
      <c r="B62" s="20">
        <v>0</v>
      </c>
      <c r="C62" s="21">
        <f t="shared" ref="C62:C63" si="23">B62-A62</f>
        <v>0</v>
      </c>
      <c r="D62" s="6">
        <v>1.2999999999999999E-2</v>
      </c>
      <c r="F62" s="22">
        <f t="shared" si="21"/>
        <v>0</v>
      </c>
      <c r="G62" s="10">
        <f t="shared" si="22"/>
        <v>0</v>
      </c>
      <c r="H62" s="54"/>
      <c r="I62" s="37"/>
      <c r="J62" s="37"/>
      <c r="K62" s="37"/>
    </row>
    <row r="63" spans="1:11" x14ac:dyDescent="0.15">
      <c r="A63" s="20">
        <v>0</v>
      </c>
      <c r="B63" s="20">
        <v>0</v>
      </c>
      <c r="C63" s="21">
        <f t="shared" si="23"/>
        <v>0</v>
      </c>
      <c r="D63" s="6">
        <v>1.2999999999999999E-2</v>
      </c>
      <c r="F63" s="22">
        <f t="shared" si="21"/>
        <v>0</v>
      </c>
      <c r="G63" s="10">
        <f t="shared" si="22"/>
        <v>0</v>
      </c>
      <c r="H63" s="55"/>
      <c r="I63" s="37"/>
      <c r="J63" s="37"/>
      <c r="K63" s="37"/>
    </row>
    <row r="64" spans="1:11" x14ac:dyDescent="0.15">
      <c r="A64" s="28"/>
      <c r="B64" s="28"/>
      <c r="C64" s="29"/>
      <c r="D64" s="30"/>
      <c r="F64" s="31"/>
      <c r="G64" s="31"/>
      <c r="H64" s="26"/>
      <c r="I64" s="26"/>
      <c r="J64" s="26"/>
      <c r="K64" s="26"/>
    </row>
    <row r="65" spans="1:11" x14ac:dyDescent="0.15">
      <c r="A65" s="7" t="s">
        <v>5</v>
      </c>
      <c r="B65" s="25" t="s">
        <v>13</v>
      </c>
      <c r="C65" s="8" t="s">
        <v>23</v>
      </c>
      <c r="D65" s="18" t="str">
        <f>$K$5</f>
        <v>psi</v>
      </c>
      <c r="F65" s="14" t="s">
        <v>5</v>
      </c>
      <c r="G65" s="9" t="str">
        <f>B65</f>
        <v>CH9</v>
      </c>
      <c r="H65" s="4"/>
      <c r="I65" s="8"/>
      <c r="J65" s="3"/>
      <c r="K65" s="9"/>
    </row>
    <row r="66" spans="1:11" ht="15" customHeight="1" x14ac:dyDescent="0.15">
      <c r="A66" s="35" t="s">
        <v>25</v>
      </c>
      <c r="B66" s="34" t="s">
        <v>26</v>
      </c>
      <c r="C66" s="43" t="s">
        <v>24</v>
      </c>
      <c r="D66" s="38" t="s">
        <v>3</v>
      </c>
      <c r="F66" s="33" t="s">
        <v>25</v>
      </c>
      <c r="G66" s="41" t="s">
        <v>32</v>
      </c>
      <c r="H66" s="39" t="s">
        <v>28</v>
      </c>
      <c r="I66" s="36" t="s">
        <v>33</v>
      </c>
      <c r="J66" s="36"/>
      <c r="K66" s="36"/>
    </row>
    <row r="67" spans="1:11" x14ac:dyDescent="0.15">
      <c r="A67" s="42"/>
      <c r="B67" s="35"/>
      <c r="C67" s="44"/>
      <c r="D67" s="38"/>
      <c r="F67" s="32" t="str">
        <f>"（"&amp;$K$5&amp;"）"</f>
        <v>（psi）</v>
      </c>
      <c r="G67" s="40"/>
      <c r="H67" s="39"/>
      <c r="I67" s="36"/>
      <c r="J67" s="36"/>
      <c r="K67" s="36"/>
    </row>
    <row r="68" spans="1:11" x14ac:dyDescent="0.15">
      <c r="A68" s="20">
        <v>0</v>
      </c>
      <c r="B68" s="20">
        <v>0</v>
      </c>
      <c r="C68" s="21">
        <f>B68-A68</f>
        <v>0</v>
      </c>
      <c r="D68" s="6">
        <v>1.2999999999999999E-2</v>
      </c>
      <c r="F68" s="22">
        <f t="shared" ref="F68:F70" si="24">A68</f>
        <v>0</v>
      </c>
      <c r="G68" s="10">
        <f t="shared" ref="G68:G70" si="25">ABS(C68)/($K$6-$I$6)</f>
        <v>0</v>
      </c>
      <c r="H68" s="53">
        <f>MAX(G68:G70)</f>
        <v>0</v>
      </c>
      <c r="I68" s="37"/>
      <c r="J68" s="37"/>
      <c r="K68" s="37"/>
    </row>
    <row r="69" spans="1:11" x14ac:dyDescent="0.15">
      <c r="A69" s="20">
        <v>0</v>
      </c>
      <c r="B69" s="20">
        <v>0</v>
      </c>
      <c r="C69" s="21">
        <f t="shared" ref="C69:C70" si="26">B69-A69</f>
        <v>0</v>
      </c>
      <c r="D69" s="6">
        <v>1.2999999999999999E-2</v>
      </c>
      <c r="F69" s="22">
        <f t="shared" si="24"/>
        <v>0</v>
      </c>
      <c r="G69" s="10">
        <f t="shared" si="25"/>
        <v>0</v>
      </c>
      <c r="H69" s="54"/>
      <c r="I69" s="37"/>
      <c r="J69" s="37"/>
      <c r="K69" s="37"/>
    </row>
    <row r="70" spans="1:11" x14ac:dyDescent="0.15">
      <c r="A70" s="20">
        <v>0</v>
      </c>
      <c r="B70" s="20">
        <v>0</v>
      </c>
      <c r="C70" s="21">
        <f t="shared" si="26"/>
        <v>0</v>
      </c>
      <c r="D70" s="6">
        <v>1.2999999999999999E-2</v>
      </c>
      <c r="F70" s="22">
        <f t="shared" si="24"/>
        <v>0</v>
      </c>
      <c r="G70" s="10">
        <f t="shared" si="25"/>
        <v>0</v>
      </c>
      <c r="H70" s="55"/>
      <c r="I70" s="37"/>
      <c r="J70" s="37"/>
      <c r="K70" s="37"/>
    </row>
    <row r="71" spans="1:11" x14ac:dyDescent="0.15">
      <c r="A71" s="28"/>
      <c r="B71" s="28"/>
      <c r="C71" s="29"/>
      <c r="D71" s="30"/>
      <c r="F71" s="31"/>
      <c r="G71" s="31"/>
      <c r="H71" s="26"/>
      <c r="I71" s="26"/>
      <c r="J71" s="26"/>
      <c r="K71" s="26"/>
    </row>
    <row r="72" spans="1:11" x14ac:dyDescent="0.15">
      <c r="A72" s="7" t="s">
        <v>5</v>
      </c>
      <c r="B72" s="25" t="s">
        <v>14</v>
      </c>
      <c r="C72" s="8" t="s">
        <v>23</v>
      </c>
      <c r="D72" s="18" t="str">
        <f>$K$5</f>
        <v>psi</v>
      </c>
      <c r="F72" s="14" t="s">
        <v>5</v>
      </c>
      <c r="G72" s="9" t="str">
        <f>B72</f>
        <v>CH10</v>
      </c>
      <c r="H72" s="4"/>
      <c r="I72" s="8"/>
      <c r="J72" s="3"/>
      <c r="K72" s="9"/>
    </row>
    <row r="73" spans="1:11" ht="15" customHeight="1" x14ac:dyDescent="0.15">
      <c r="A73" s="35" t="s">
        <v>25</v>
      </c>
      <c r="B73" s="34" t="s">
        <v>26</v>
      </c>
      <c r="C73" s="43" t="s">
        <v>24</v>
      </c>
      <c r="D73" s="38" t="s">
        <v>3</v>
      </c>
      <c r="F73" s="33" t="s">
        <v>25</v>
      </c>
      <c r="G73" s="41" t="s">
        <v>32</v>
      </c>
      <c r="H73" s="39" t="s">
        <v>28</v>
      </c>
      <c r="I73" s="36" t="s">
        <v>33</v>
      </c>
      <c r="J73" s="36"/>
      <c r="K73" s="36"/>
    </row>
    <row r="74" spans="1:11" x14ac:dyDescent="0.15">
      <c r="A74" s="42"/>
      <c r="B74" s="35"/>
      <c r="C74" s="44"/>
      <c r="D74" s="38"/>
      <c r="F74" s="32" t="str">
        <f>"（"&amp;$K$5&amp;"）"</f>
        <v>（psi）</v>
      </c>
      <c r="G74" s="40"/>
      <c r="H74" s="39"/>
      <c r="I74" s="36"/>
      <c r="J74" s="36"/>
      <c r="K74" s="36"/>
    </row>
    <row r="75" spans="1:11" x14ac:dyDescent="0.15">
      <c r="A75" s="20">
        <v>0</v>
      </c>
      <c r="B75" s="20">
        <v>0</v>
      </c>
      <c r="C75" s="21">
        <f>B75-A75</f>
        <v>0</v>
      </c>
      <c r="D75" s="6">
        <v>1.2999999999999999E-2</v>
      </c>
      <c r="F75" s="22">
        <f t="shared" ref="F75:F77" si="27">A75</f>
        <v>0</v>
      </c>
      <c r="G75" s="10">
        <f t="shared" ref="G75:G77" si="28">ABS(C75)/($K$6-$I$6)</f>
        <v>0</v>
      </c>
      <c r="H75" s="53">
        <f>MAX(G75:G77)</f>
        <v>0</v>
      </c>
      <c r="I75" s="37"/>
      <c r="J75" s="37"/>
      <c r="K75" s="37"/>
    </row>
    <row r="76" spans="1:11" x14ac:dyDescent="0.15">
      <c r="A76" s="20">
        <v>0</v>
      </c>
      <c r="B76" s="20">
        <v>0</v>
      </c>
      <c r="C76" s="21">
        <f t="shared" ref="C76:C77" si="29">B76-A76</f>
        <v>0</v>
      </c>
      <c r="D76" s="6">
        <v>1.2999999999999999E-2</v>
      </c>
      <c r="F76" s="22">
        <f t="shared" si="27"/>
        <v>0</v>
      </c>
      <c r="G76" s="10">
        <f t="shared" si="28"/>
        <v>0</v>
      </c>
      <c r="H76" s="54"/>
      <c r="I76" s="37"/>
      <c r="J76" s="37"/>
      <c r="K76" s="37"/>
    </row>
    <row r="77" spans="1:11" x14ac:dyDescent="0.15">
      <c r="A77" s="20">
        <v>0</v>
      </c>
      <c r="B77" s="20">
        <v>0</v>
      </c>
      <c r="C77" s="21">
        <f t="shared" si="29"/>
        <v>0</v>
      </c>
      <c r="D77" s="6">
        <v>1.2999999999999999E-2</v>
      </c>
      <c r="F77" s="22">
        <f t="shared" si="27"/>
        <v>0</v>
      </c>
      <c r="G77" s="10">
        <f t="shared" si="28"/>
        <v>0</v>
      </c>
      <c r="H77" s="55"/>
      <c r="I77" s="37"/>
      <c r="J77" s="37"/>
      <c r="K77" s="37"/>
    </row>
    <row r="78" spans="1:11" x14ac:dyDescent="0.15">
      <c r="A78" s="28"/>
      <c r="B78" s="28"/>
      <c r="C78" s="29"/>
      <c r="D78" s="30"/>
      <c r="F78" s="31"/>
      <c r="G78" s="26"/>
      <c r="H78" s="26"/>
      <c r="I78" s="26"/>
      <c r="J78" s="26"/>
      <c r="K78" s="26"/>
    </row>
    <row r="79" spans="1:11" x14ac:dyDescent="0.15">
      <c r="A79" s="7" t="s">
        <v>5</v>
      </c>
      <c r="B79" s="25" t="s">
        <v>15</v>
      </c>
      <c r="C79" s="8" t="s">
        <v>23</v>
      </c>
      <c r="D79" s="18" t="str">
        <f>$K$5</f>
        <v>psi</v>
      </c>
      <c r="F79" s="14" t="s">
        <v>5</v>
      </c>
      <c r="G79" s="9" t="str">
        <f>B79</f>
        <v>CH11</v>
      </c>
      <c r="H79" s="4"/>
      <c r="I79" s="8"/>
      <c r="J79" s="3"/>
      <c r="K79" s="9"/>
    </row>
    <row r="80" spans="1:11" ht="15" customHeight="1" x14ac:dyDescent="0.15">
      <c r="A80" s="35" t="s">
        <v>25</v>
      </c>
      <c r="B80" s="34" t="s">
        <v>26</v>
      </c>
      <c r="C80" s="43" t="s">
        <v>24</v>
      </c>
      <c r="D80" s="38" t="s">
        <v>3</v>
      </c>
      <c r="F80" s="33" t="s">
        <v>25</v>
      </c>
      <c r="G80" s="41" t="s">
        <v>32</v>
      </c>
      <c r="H80" s="39" t="s">
        <v>28</v>
      </c>
      <c r="I80" s="36" t="s">
        <v>33</v>
      </c>
      <c r="J80" s="36"/>
      <c r="K80" s="36"/>
    </row>
    <row r="81" spans="1:11" x14ac:dyDescent="0.15">
      <c r="A81" s="42"/>
      <c r="B81" s="35"/>
      <c r="C81" s="44"/>
      <c r="D81" s="38"/>
      <c r="F81" s="32" t="str">
        <f>"（"&amp;$K$5&amp;"）"</f>
        <v>（psi）</v>
      </c>
      <c r="G81" s="40"/>
      <c r="H81" s="39"/>
      <c r="I81" s="36"/>
      <c r="J81" s="36"/>
      <c r="K81" s="36"/>
    </row>
    <row r="82" spans="1:11" x14ac:dyDescent="0.15">
      <c r="A82" s="20">
        <v>0</v>
      </c>
      <c r="B82" s="20">
        <v>0</v>
      </c>
      <c r="C82" s="21">
        <f>B82-A82</f>
        <v>0</v>
      </c>
      <c r="D82" s="6">
        <v>1.2999999999999999E-2</v>
      </c>
      <c r="F82" s="22">
        <f t="shared" ref="F82:F84" si="30">A82</f>
        <v>0</v>
      </c>
      <c r="G82" s="10">
        <f t="shared" ref="G82:G84" si="31">ABS(C82)/($K$6-$I$6)</f>
        <v>0</v>
      </c>
      <c r="H82" s="53">
        <f>MAX(G82:G84)</f>
        <v>0</v>
      </c>
      <c r="I82" s="37"/>
      <c r="J82" s="37"/>
      <c r="K82" s="37"/>
    </row>
    <row r="83" spans="1:11" x14ac:dyDescent="0.15">
      <c r="A83" s="20">
        <v>0</v>
      </c>
      <c r="B83" s="20">
        <v>0</v>
      </c>
      <c r="C83" s="21">
        <f t="shared" ref="C83:C84" si="32">B83-A83</f>
        <v>0</v>
      </c>
      <c r="D83" s="6">
        <v>1.2999999999999999E-2</v>
      </c>
      <c r="F83" s="22">
        <f t="shared" si="30"/>
        <v>0</v>
      </c>
      <c r="G83" s="10">
        <f t="shared" si="31"/>
        <v>0</v>
      </c>
      <c r="H83" s="54"/>
      <c r="I83" s="37"/>
      <c r="J83" s="37"/>
      <c r="K83" s="37"/>
    </row>
    <row r="84" spans="1:11" x14ac:dyDescent="0.15">
      <c r="A84" s="20">
        <v>0</v>
      </c>
      <c r="B84" s="20">
        <v>0</v>
      </c>
      <c r="C84" s="21">
        <f t="shared" si="32"/>
        <v>0</v>
      </c>
      <c r="D84" s="6">
        <v>1.2999999999999999E-2</v>
      </c>
      <c r="F84" s="22">
        <f t="shared" si="30"/>
        <v>0</v>
      </c>
      <c r="G84" s="10">
        <f t="shared" si="31"/>
        <v>0</v>
      </c>
      <c r="H84" s="55"/>
      <c r="I84" s="37"/>
      <c r="J84" s="37"/>
      <c r="K84" s="37"/>
    </row>
    <row r="85" spans="1:11" x14ac:dyDescent="0.15">
      <c r="A85" s="28"/>
      <c r="B85" s="28"/>
      <c r="C85" s="29"/>
      <c r="D85" s="30"/>
      <c r="F85" s="31"/>
      <c r="G85" s="31"/>
      <c r="H85" s="26"/>
      <c r="I85" s="26"/>
      <c r="J85" s="26"/>
      <c r="K85" s="26"/>
    </row>
    <row r="86" spans="1:11" x14ac:dyDescent="0.15">
      <c r="A86" s="7" t="s">
        <v>5</v>
      </c>
      <c r="B86" s="25" t="s">
        <v>16</v>
      </c>
      <c r="C86" s="8" t="s">
        <v>23</v>
      </c>
      <c r="D86" s="18" t="str">
        <f>$K$5</f>
        <v>psi</v>
      </c>
      <c r="F86" s="14" t="s">
        <v>5</v>
      </c>
      <c r="G86" s="9" t="str">
        <f>B86</f>
        <v>CH12</v>
      </c>
      <c r="H86" s="4"/>
      <c r="I86" s="8"/>
      <c r="J86" s="3"/>
      <c r="K86" s="9"/>
    </row>
    <row r="87" spans="1:11" ht="15" customHeight="1" x14ac:dyDescent="0.15">
      <c r="A87" s="35" t="s">
        <v>25</v>
      </c>
      <c r="B87" s="34" t="s">
        <v>26</v>
      </c>
      <c r="C87" s="43" t="s">
        <v>24</v>
      </c>
      <c r="D87" s="38" t="s">
        <v>3</v>
      </c>
      <c r="F87" s="33" t="s">
        <v>25</v>
      </c>
      <c r="G87" s="41" t="s">
        <v>32</v>
      </c>
      <c r="H87" s="39" t="s">
        <v>28</v>
      </c>
      <c r="I87" s="36" t="s">
        <v>33</v>
      </c>
      <c r="J87" s="36"/>
      <c r="K87" s="36"/>
    </row>
    <row r="88" spans="1:11" x14ac:dyDescent="0.15">
      <c r="A88" s="42"/>
      <c r="B88" s="35"/>
      <c r="C88" s="44"/>
      <c r="D88" s="38"/>
      <c r="F88" s="32" t="str">
        <f>"（"&amp;$K$5&amp;"）"</f>
        <v>（psi）</v>
      </c>
      <c r="G88" s="40"/>
      <c r="H88" s="39"/>
      <c r="I88" s="36"/>
      <c r="J88" s="36"/>
      <c r="K88" s="36"/>
    </row>
    <row r="89" spans="1:11" x14ac:dyDescent="0.15">
      <c r="A89" s="20">
        <v>0</v>
      </c>
      <c r="B89" s="20">
        <v>0</v>
      </c>
      <c r="C89" s="21">
        <f>B89-A89</f>
        <v>0</v>
      </c>
      <c r="D89" s="6">
        <v>1.2999999999999999E-2</v>
      </c>
      <c r="F89" s="22">
        <f t="shared" ref="F89:F91" si="33">A89</f>
        <v>0</v>
      </c>
      <c r="G89" s="10">
        <f t="shared" ref="G89:G91" si="34">ABS(C89)/($K$6-$I$6)</f>
        <v>0</v>
      </c>
      <c r="H89" s="53">
        <f>MAX(G89:G91)</f>
        <v>0</v>
      </c>
      <c r="I89" s="37"/>
      <c r="J89" s="37"/>
      <c r="K89" s="37"/>
    </row>
    <row r="90" spans="1:11" x14ac:dyDescent="0.15">
      <c r="A90" s="20">
        <v>0</v>
      </c>
      <c r="B90" s="20">
        <v>0</v>
      </c>
      <c r="C90" s="21">
        <f t="shared" ref="C90:C91" si="35">B90-A90</f>
        <v>0</v>
      </c>
      <c r="D90" s="6">
        <v>1.2999999999999999E-2</v>
      </c>
      <c r="F90" s="22">
        <f t="shared" si="33"/>
        <v>0</v>
      </c>
      <c r="G90" s="10">
        <f t="shared" si="34"/>
        <v>0</v>
      </c>
      <c r="H90" s="54"/>
      <c r="I90" s="37"/>
      <c r="J90" s="37"/>
      <c r="K90" s="37"/>
    </row>
    <row r="91" spans="1:11" x14ac:dyDescent="0.15">
      <c r="A91" s="20">
        <v>0</v>
      </c>
      <c r="B91" s="20">
        <v>0</v>
      </c>
      <c r="C91" s="21">
        <f t="shared" si="35"/>
        <v>0</v>
      </c>
      <c r="D91" s="6">
        <v>1.2999999999999999E-2</v>
      </c>
      <c r="F91" s="22">
        <f t="shared" si="33"/>
        <v>0</v>
      </c>
      <c r="G91" s="10">
        <f t="shared" si="34"/>
        <v>0</v>
      </c>
      <c r="H91" s="55"/>
      <c r="I91" s="37"/>
      <c r="J91" s="37"/>
      <c r="K91" s="37"/>
    </row>
    <row r="92" spans="1:11" x14ac:dyDescent="0.15">
      <c r="A92" s="28"/>
      <c r="B92" s="28"/>
      <c r="C92" s="29"/>
      <c r="D92" s="30"/>
      <c r="F92" s="31"/>
      <c r="G92" s="31"/>
      <c r="H92" s="26"/>
      <c r="I92" s="26"/>
      <c r="J92" s="26"/>
      <c r="K92" s="26"/>
    </row>
    <row r="93" spans="1:11" x14ac:dyDescent="0.15">
      <c r="A93" s="28"/>
      <c r="B93" s="28"/>
      <c r="C93" s="29"/>
      <c r="D93" s="30"/>
      <c r="F93" s="31"/>
      <c r="G93" s="31"/>
      <c r="H93" s="26"/>
      <c r="I93" s="26"/>
      <c r="J93" s="26"/>
      <c r="K93" s="26"/>
    </row>
    <row r="94" spans="1:11" x14ac:dyDescent="0.15">
      <c r="A94" s="28"/>
      <c r="B94" s="28"/>
      <c r="C94" s="29"/>
      <c r="D94" s="30"/>
      <c r="F94" s="31"/>
      <c r="G94" s="31"/>
      <c r="H94" s="26"/>
      <c r="I94" s="26"/>
      <c r="J94" s="26"/>
      <c r="K94" s="26"/>
    </row>
    <row r="95" spans="1:11" x14ac:dyDescent="0.15">
      <c r="A95" s="7" t="s">
        <v>5</v>
      </c>
      <c r="B95" s="25" t="s">
        <v>17</v>
      </c>
      <c r="C95" s="8" t="s">
        <v>23</v>
      </c>
      <c r="D95" s="18" t="str">
        <f>$K$5</f>
        <v>psi</v>
      </c>
      <c r="F95" s="14" t="s">
        <v>5</v>
      </c>
      <c r="G95" s="9" t="str">
        <f>B95</f>
        <v>CH13</v>
      </c>
      <c r="H95" s="4"/>
      <c r="I95" s="8"/>
      <c r="J95" s="3"/>
      <c r="K95" s="9"/>
    </row>
    <row r="96" spans="1:11" ht="15" customHeight="1" x14ac:dyDescent="0.15">
      <c r="A96" s="35" t="s">
        <v>25</v>
      </c>
      <c r="B96" s="34" t="s">
        <v>26</v>
      </c>
      <c r="C96" s="43" t="s">
        <v>24</v>
      </c>
      <c r="D96" s="38" t="s">
        <v>3</v>
      </c>
      <c r="F96" s="33" t="s">
        <v>25</v>
      </c>
      <c r="G96" s="41" t="s">
        <v>32</v>
      </c>
      <c r="H96" s="39" t="s">
        <v>28</v>
      </c>
      <c r="I96" s="36" t="s">
        <v>33</v>
      </c>
      <c r="J96" s="36"/>
      <c r="K96" s="36"/>
    </row>
    <row r="97" spans="1:11" x14ac:dyDescent="0.15">
      <c r="A97" s="42"/>
      <c r="B97" s="35"/>
      <c r="C97" s="44"/>
      <c r="D97" s="38"/>
      <c r="F97" s="32" t="str">
        <f>"（"&amp;$K$5&amp;"）"</f>
        <v>（psi）</v>
      </c>
      <c r="G97" s="40"/>
      <c r="H97" s="39"/>
      <c r="I97" s="36"/>
      <c r="J97" s="36"/>
      <c r="K97" s="36"/>
    </row>
    <row r="98" spans="1:11" x14ac:dyDescent="0.15">
      <c r="A98" s="20">
        <v>0</v>
      </c>
      <c r="B98" s="20">
        <v>0</v>
      </c>
      <c r="C98" s="21">
        <f>B98-A98</f>
        <v>0</v>
      </c>
      <c r="D98" s="6">
        <v>1.2999999999999999E-2</v>
      </c>
      <c r="F98" s="22">
        <f t="shared" ref="F98:F100" si="36">A98</f>
        <v>0</v>
      </c>
      <c r="G98" s="10">
        <f t="shared" ref="G98:G100" si="37">ABS(C98)/($K$6-$I$6)</f>
        <v>0</v>
      </c>
      <c r="H98" s="53">
        <f>MAX(G98:G100)</f>
        <v>0</v>
      </c>
      <c r="I98" s="37"/>
      <c r="J98" s="37"/>
      <c r="K98" s="37"/>
    </row>
    <row r="99" spans="1:11" x14ac:dyDescent="0.15">
      <c r="A99" s="20">
        <v>0</v>
      </c>
      <c r="B99" s="20">
        <v>0</v>
      </c>
      <c r="C99" s="21">
        <f t="shared" ref="C99:C100" si="38">B99-A99</f>
        <v>0</v>
      </c>
      <c r="D99" s="6">
        <v>1.2999999999999999E-2</v>
      </c>
      <c r="F99" s="22">
        <f t="shared" si="36"/>
        <v>0</v>
      </c>
      <c r="G99" s="10">
        <f t="shared" si="37"/>
        <v>0</v>
      </c>
      <c r="H99" s="54"/>
      <c r="I99" s="37"/>
      <c r="J99" s="37"/>
      <c r="K99" s="37"/>
    </row>
    <row r="100" spans="1:11" x14ac:dyDescent="0.15">
      <c r="A100" s="20">
        <v>0</v>
      </c>
      <c r="B100" s="20">
        <v>0</v>
      </c>
      <c r="C100" s="21">
        <f t="shared" si="38"/>
        <v>0</v>
      </c>
      <c r="D100" s="6">
        <v>1.2999999999999999E-2</v>
      </c>
      <c r="F100" s="22">
        <f t="shared" si="36"/>
        <v>0</v>
      </c>
      <c r="G100" s="10">
        <f t="shared" si="37"/>
        <v>0</v>
      </c>
      <c r="H100" s="55"/>
      <c r="I100" s="37"/>
      <c r="J100" s="37"/>
      <c r="K100" s="37"/>
    </row>
    <row r="101" spans="1:11" x14ac:dyDescent="0.15">
      <c r="A101" s="28"/>
      <c r="B101" s="28"/>
      <c r="C101" s="29"/>
      <c r="D101" s="30"/>
      <c r="F101" s="31"/>
      <c r="G101" s="31"/>
      <c r="H101" s="26"/>
      <c r="I101" s="26"/>
      <c r="J101" s="26"/>
      <c r="K101" s="26"/>
    </row>
    <row r="102" spans="1:11" x14ac:dyDescent="0.15">
      <c r="A102" s="7" t="s">
        <v>5</v>
      </c>
      <c r="B102" s="25" t="s">
        <v>18</v>
      </c>
      <c r="C102" s="8" t="s">
        <v>23</v>
      </c>
      <c r="D102" s="18" t="str">
        <f>$K$5</f>
        <v>psi</v>
      </c>
      <c r="F102" s="14" t="s">
        <v>5</v>
      </c>
      <c r="G102" s="9" t="str">
        <f>B102</f>
        <v>CH14</v>
      </c>
      <c r="H102" s="4"/>
      <c r="I102" s="8"/>
      <c r="J102" s="3"/>
      <c r="K102" s="9"/>
    </row>
    <row r="103" spans="1:11" ht="15" customHeight="1" x14ac:dyDescent="0.15">
      <c r="A103" s="35" t="s">
        <v>25</v>
      </c>
      <c r="B103" s="34" t="s">
        <v>26</v>
      </c>
      <c r="C103" s="43" t="s">
        <v>24</v>
      </c>
      <c r="D103" s="38" t="s">
        <v>3</v>
      </c>
      <c r="F103" s="33" t="s">
        <v>25</v>
      </c>
      <c r="G103" s="41" t="s">
        <v>32</v>
      </c>
      <c r="H103" s="39" t="s">
        <v>28</v>
      </c>
      <c r="I103" s="36" t="s">
        <v>33</v>
      </c>
      <c r="J103" s="36"/>
      <c r="K103" s="36"/>
    </row>
    <row r="104" spans="1:11" x14ac:dyDescent="0.15">
      <c r="A104" s="42"/>
      <c r="B104" s="35"/>
      <c r="C104" s="44"/>
      <c r="D104" s="38"/>
      <c r="F104" s="32" t="str">
        <f>"（"&amp;$K$5&amp;"）"</f>
        <v>（psi）</v>
      </c>
      <c r="G104" s="40"/>
      <c r="H104" s="39"/>
      <c r="I104" s="36"/>
      <c r="J104" s="36"/>
      <c r="K104" s="36"/>
    </row>
    <row r="105" spans="1:11" x14ac:dyDescent="0.15">
      <c r="A105" s="20">
        <v>0</v>
      </c>
      <c r="B105" s="20">
        <v>0</v>
      </c>
      <c r="C105" s="21">
        <f>B105-A105</f>
        <v>0</v>
      </c>
      <c r="D105" s="6">
        <v>1.2999999999999999E-2</v>
      </c>
      <c r="F105" s="22">
        <f t="shared" ref="F105:F107" si="39">A105</f>
        <v>0</v>
      </c>
      <c r="G105" s="10">
        <f t="shared" ref="G105:G107" si="40">ABS(C105)/($K$6-$I$6)</f>
        <v>0</v>
      </c>
      <c r="H105" s="53">
        <f>MAX(G105:G107)</f>
        <v>0</v>
      </c>
      <c r="I105" s="37"/>
      <c r="J105" s="37"/>
      <c r="K105" s="37"/>
    </row>
    <row r="106" spans="1:11" x14ac:dyDescent="0.15">
      <c r="A106" s="20">
        <v>0</v>
      </c>
      <c r="B106" s="20">
        <v>0</v>
      </c>
      <c r="C106" s="21">
        <f t="shared" ref="C106:C107" si="41">B106-A106</f>
        <v>0</v>
      </c>
      <c r="D106" s="6">
        <v>1.2999999999999999E-2</v>
      </c>
      <c r="F106" s="22">
        <f t="shared" si="39"/>
        <v>0</v>
      </c>
      <c r="G106" s="10">
        <f t="shared" si="40"/>
        <v>0</v>
      </c>
      <c r="H106" s="54"/>
      <c r="I106" s="37"/>
      <c r="J106" s="37"/>
      <c r="K106" s="37"/>
    </row>
    <row r="107" spans="1:11" x14ac:dyDescent="0.15">
      <c r="A107" s="20">
        <v>0</v>
      </c>
      <c r="B107" s="20">
        <v>0</v>
      </c>
      <c r="C107" s="21">
        <f t="shared" si="41"/>
        <v>0</v>
      </c>
      <c r="D107" s="6">
        <v>1.2999999999999999E-2</v>
      </c>
      <c r="F107" s="22">
        <f t="shared" si="39"/>
        <v>0</v>
      </c>
      <c r="G107" s="10">
        <f t="shared" si="40"/>
        <v>0</v>
      </c>
      <c r="H107" s="55"/>
      <c r="I107" s="37"/>
      <c r="J107" s="37"/>
      <c r="K107" s="37"/>
    </row>
    <row r="108" spans="1:11" x14ac:dyDescent="0.15">
      <c r="A108" s="28"/>
      <c r="B108" s="28"/>
      <c r="C108" s="29"/>
      <c r="D108" s="30"/>
      <c r="F108" s="31"/>
      <c r="G108" s="31"/>
      <c r="H108" s="26"/>
      <c r="I108" s="26"/>
      <c r="J108" s="26"/>
      <c r="K108" s="26"/>
    </row>
    <row r="109" spans="1:11" x14ac:dyDescent="0.15">
      <c r="A109" s="7" t="s">
        <v>5</v>
      </c>
      <c r="B109" s="25" t="s">
        <v>19</v>
      </c>
      <c r="C109" s="8" t="s">
        <v>23</v>
      </c>
      <c r="D109" s="18" t="str">
        <f>$K$5</f>
        <v>psi</v>
      </c>
      <c r="F109" s="14" t="s">
        <v>5</v>
      </c>
      <c r="G109" s="9" t="str">
        <f>B109</f>
        <v>CH15</v>
      </c>
      <c r="H109" s="4"/>
      <c r="I109" s="8"/>
      <c r="J109" s="3"/>
      <c r="K109" s="9"/>
    </row>
    <row r="110" spans="1:11" ht="15" customHeight="1" x14ac:dyDescent="0.15">
      <c r="A110" s="35" t="s">
        <v>25</v>
      </c>
      <c r="B110" s="34" t="s">
        <v>26</v>
      </c>
      <c r="C110" s="43" t="s">
        <v>24</v>
      </c>
      <c r="D110" s="38" t="s">
        <v>3</v>
      </c>
      <c r="F110" s="33" t="s">
        <v>25</v>
      </c>
      <c r="G110" s="41" t="s">
        <v>32</v>
      </c>
      <c r="H110" s="39" t="s">
        <v>28</v>
      </c>
      <c r="I110" s="36" t="s">
        <v>33</v>
      </c>
      <c r="J110" s="36"/>
      <c r="K110" s="36"/>
    </row>
    <row r="111" spans="1:11" x14ac:dyDescent="0.15">
      <c r="A111" s="42"/>
      <c r="B111" s="35"/>
      <c r="C111" s="44"/>
      <c r="D111" s="38"/>
      <c r="F111" s="32" t="str">
        <f>"（"&amp;$K$5&amp;"）"</f>
        <v>（psi）</v>
      </c>
      <c r="G111" s="40"/>
      <c r="H111" s="39"/>
      <c r="I111" s="36"/>
      <c r="J111" s="36"/>
      <c r="K111" s="36"/>
    </row>
    <row r="112" spans="1:11" x14ac:dyDescent="0.15">
      <c r="A112" s="20">
        <v>0</v>
      </c>
      <c r="B112" s="20">
        <v>0</v>
      </c>
      <c r="C112" s="21">
        <f>B112-A112</f>
        <v>0</v>
      </c>
      <c r="D112" s="6">
        <v>1.2999999999999999E-2</v>
      </c>
      <c r="F112" s="22">
        <f t="shared" ref="F112:F114" si="42">A112</f>
        <v>0</v>
      </c>
      <c r="G112" s="10">
        <f t="shared" ref="G112:G114" si="43">ABS(C112)/($K$6-$I$6)</f>
        <v>0</v>
      </c>
      <c r="H112" s="53">
        <f>MAX(G112:G114)</f>
        <v>0</v>
      </c>
      <c r="I112" s="37"/>
      <c r="J112" s="37"/>
      <c r="K112" s="37"/>
    </row>
    <row r="113" spans="1:11" x14ac:dyDescent="0.15">
      <c r="A113" s="20">
        <v>0</v>
      </c>
      <c r="B113" s="20">
        <v>0</v>
      </c>
      <c r="C113" s="21">
        <f t="shared" ref="C113:C114" si="44">B113-A113</f>
        <v>0</v>
      </c>
      <c r="D113" s="6">
        <v>1.2999999999999999E-2</v>
      </c>
      <c r="F113" s="22">
        <f t="shared" si="42"/>
        <v>0</v>
      </c>
      <c r="G113" s="10">
        <f t="shared" si="43"/>
        <v>0</v>
      </c>
      <c r="H113" s="54"/>
      <c r="I113" s="37"/>
      <c r="J113" s="37"/>
      <c r="K113" s="37"/>
    </row>
    <row r="114" spans="1:11" x14ac:dyDescent="0.15">
      <c r="A114" s="20">
        <v>0</v>
      </c>
      <c r="B114" s="20">
        <v>0</v>
      </c>
      <c r="C114" s="21">
        <f t="shared" si="44"/>
        <v>0</v>
      </c>
      <c r="D114" s="6">
        <v>1.2999999999999999E-2</v>
      </c>
      <c r="F114" s="22">
        <f t="shared" si="42"/>
        <v>0</v>
      </c>
      <c r="G114" s="10">
        <f t="shared" si="43"/>
        <v>0</v>
      </c>
      <c r="H114" s="55"/>
      <c r="I114" s="37"/>
      <c r="J114" s="37"/>
      <c r="K114" s="37"/>
    </row>
    <row r="115" spans="1:11" x14ac:dyDescent="0.15">
      <c r="A115" s="28"/>
      <c r="B115" s="28"/>
      <c r="C115" s="29"/>
      <c r="D115" s="30"/>
      <c r="F115" s="31"/>
      <c r="G115" s="31"/>
      <c r="H115" s="26"/>
      <c r="I115" s="26"/>
      <c r="J115" s="26"/>
      <c r="K115" s="26"/>
    </row>
    <row r="116" spans="1:11" x14ac:dyDescent="0.15">
      <c r="A116" s="7" t="s">
        <v>5</v>
      </c>
      <c r="B116" s="25" t="s">
        <v>20</v>
      </c>
      <c r="C116" s="8" t="s">
        <v>23</v>
      </c>
      <c r="D116" s="18" t="str">
        <f>$K$5</f>
        <v>psi</v>
      </c>
      <c r="F116" s="14" t="s">
        <v>5</v>
      </c>
      <c r="G116" s="9" t="str">
        <f>B116</f>
        <v>CH16</v>
      </c>
      <c r="H116" s="4"/>
      <c r="I116" s="8"/>
      <c r="J116" s="3"/>
      <c r="K116" s="9"/>
    </row>
    <row r="117" spans="1:11" ht="15" customHeight="1" x14ac:dyDescent="0.15">
      <c r="A117" s="35" t="s">
        <v>25</v>
      </c>
      <c r="B117" s="34" t="s">
        <v>26</v>
      </c>
      <c r="C117" s="43" t="s">
        <v>24</v>
      </c>
      <c r="D117" s="38" t="s">
        <v>3</v>
      </c>
      <c r="F117" s="33" t="s">
        <v>25</v>
      </c>
      <c r="G117" s="41" t="s">
        <v>32</v>
      </c>
      <c r="H117" s="39" t="s">
        <v>28</v>
      </c>
      <c r="I117" s="36" t="s">
        <v>33</v>
      </c>
      <c r="J117" s="36"/>
      <c r="K117" s="36"/>
    </row>
    <row r="118" spans="1:11" x14ac:dyDescent="0.15">
      <c r="A118" s="42"/>
      <c r="B118" s="35"/>
      <c r="C118" s="44"/>
      <c r="D118" s="38"/>
      <c r="F118" s="32" t="str">
        <f>"（"&amp;$K$5&amp;"）"</f>
        <v>（psi）</v>
      </c>
      <c r="G118" s="40"/>
      <c r="H118" s="39"/>
      <c r="I118" s="36"/>
      <c r="J118" s="36"/>
      <c r="K118" s="36"/>
    </row>
    <row r="119" spans="1:11" x14ac:dyDescent="0.15">
      <c r="A119" s="20">
        <v>0</v>
      </c>
      <c r="B119" s="20">
        <v>0</v>
      </c>
      <c r="C119" s="21">
        <f>B119-A119</f>
        <v>0</v>
      </c>
      <c r="D119" s="6">
        <v>1.2999999999999999E-2</v>
      </c>
      <c r="F119" s="22">
        <f t="shared" ref="F119:F121" si="45">A119</f>
        <v>0</v>
      </c>
      <c r="G119" s="10">
        <f t="shared" ref="G119:G121" si="46">ABS(C119)/($K$6-$I$6)</f>
        <v>0</v>
      </c>
      <c r="H119" s="53">
        <f>MAX(G119:G121)</f>
        <v>0</v>
      </c>
      <c r="I119" s="37"/>
      <c r="J119" s="37"/>
      <c r="K119" s="37"/>
    </row>
    <row r="120" spans="1:11" x14ac:dyDescent="0.15">
      <c r="A120" s="20">
        <v>0</v>
      </c>
      <c r="B120" s="20">
        <v>0</v>
      </c>
      <c r="C120" s="21">
        <f t="shared" ref="C120:C121" si="47">B120-A120</f>
        <v>0</v>
      </c>
      <c r="D120" s="6">
        <v>1.2999999999999999E-2</v>
      </c>
      <c r="F120" s="22">
        <f t="shared" si="45"/>
        <v>0</v>
      </c>
      <c r="G120" s="10">
        <f t="shared" si="46"/>
        <v>0</v>
      </c>
      <c r="H120" s="54"/>
      <c r="I120" s="37"/>
      <c r="J120" s="37"/>
      <c r="K120" s="37"/>
    </row>
    <row r="121" spans="1:11" x14ac:dyDescent="0.15">
      <c r="A121" s="20">
        <v>0</v>
      </c>
      <c r="B121" s="20">
        <v>0</v>
      </c>
      <c r="C121" s="21">
        <f t="shared" si="47"/>
        <v>0</v>
      </c>
      <c r="D121" s="6">
        <v>1.2999999999999999E-2</v>
      </c>
      <c r="F121" s="22">
        <f t="shared" si="45"/>
        <v>0</v>
      </c>
      <c r="G121" s="10">
        <f t="shared" si="46"/>
        <v>0</v>
      </c>
      <c r="H121" s="55"/>
      <c r="I121" s="37"/>
      <c r="J121" s="37"/>
      <c r="K121" s="37"/>
    </row>
    <row r="122" spans="1:11" x14ac:dyDescent="0.15">
      <c r="A122" s="28"/>
      <c r="B122" s="28"/>
      <c r="C122" s="29"/>
      <c r="D122" s="30"/>
      <c r="F122" s="31"/>
      <c r="G122" s="26"/>
      <c r="H122" s="26"/>
      <c r="I122" s="26"/>
      <c r="J122" s="26"/>
      <c r="K122" s="26"/>
    </row>
    <row r="123" spans="1:11" x14ac:dyDescent="0.15">
      <c r="A123" s="45"/>
      <c r="B123" s="45"/>
      <c r="C123" s="45"/>
      <c r="D123" s="45"/>
    </row>
    <row r="124" spans="1:11" x14ac:dyDescent="0.15">
      <c r="A124" s="46" t="s">
        <v>2</v>
      </c>
      <c r="B124" s="46"/>
      <c r="C124" s="46"/>
      <c r="D124" s="46"/>
    </row>
    <row r="125" spans="1:11" x14ac:dyDescent="0.15">
      <c r="A125" s="45" t="s">
        <v>1</v>
      </c>
      <c r="B125" s="45"/>
      <c r="C125" s="45"/>
      <c r="D125" s="45"/>
    </row>
  </sheetData>
  <mergeCells count="152">
    <mergeCell ref="I1:I2"/>
    <mergeCell ref="G117:G118"/>
    <mergeCell ref="H117:H118"/>
    <mergeCell ref="I98:K100"/>
    <mergeCell ref="I103:K104"/>
    <mergeCell ref="I105:K107"/>
    <mergeCell ref="I110:K111"/>
    <mergeCell ref="I112:K114"/>
    <mergeCell ref="I117:K118"/>
    <mergeCell ref="I82:K84"/>
    <mergeCell ref="I87:K88"/>
    <mergeCell ref="H75:H77"/>
    <mergeCell ref="G80:G81"/>
    <mergeCell ref="H80:H81"/>
    <mergeCell ref="I68:K70"/>
    <mergeCell ref="I73:K74"/>
    <mergeCell ref="I75:K77"/>
    <mergeCell ref="I80:K81"/>
    <mergeCell ref="H82:H84"/>
    <mergeCell ref="G87:G88"/>
    <mergeCell ref="H87:H88"/>
    <mergeCell ref="H61:H63"/>
    <mergeCell ref="G66:G67"/>
    <mergeCell ref="H66:H67"/>
    <mergeCell ref="F4:J4"/>
    <mergeCell ref="F3:J3"/>
    <mergeCell ref="H119:H121"/>
    <mergeCell ref="H105:H107"/>
    <mergeCell ref="G110:G111"/>
    <mergeCell ref="H110:H111"/>
    <mergeCell ref="H112:H114"/>
    <mergeCell ref="I119:K121"/>
    <mergeCell ref="H89:H91"/>
    <mergeCell ref="G96:G97"/>
    <mergeCell ref="H96:H97"/>
    <mergeCell ref="I89:K91"/>
    <mergeCell ref="I96:K97"/>
    <mergeCell ref="H98:H100"/>
    <mergeCell ref="G103:G104"/>
    <mergeCell ref="H103:H104"/>
    <mergeCell ref="H54:H56"/>
    <mergeCell ref="G59:G60"/>
    <mergeCell ref="H59:H60"/>
    <mergeCell ref="I54:K56"/>
    <mergeCell ref="I59:K60"/>
    <mergeCell ref="I61:K63"/>
    <mergeCell ref="I66:K67"/>
    <mergeCell ref="H68:H70"/>
    <mergeCell ref="G73:G74"/>
    <mergeCell ref="H73:H74"/>
    <mergeCell ref="G36:G37"/>
    <mergeCell ref="H36:H37"/>
    <mergeCell ref="I36:K37"/>
    <mergeCell ref="H38:H40"/>
    <mergeCell ref="G43:G44"/>
    <mergeCell ref="H43:H44"/>
    <mergeCell ref="H45:H47"/>
    <mergeCell ref="G52:G53"/>
    <mergeCell ref="H52:H53"/>
    <mergeCell ref="I38:K40"/>
    <mergeCell ref="I43:K44"/>
    <mergeCell ref="I45:K47"/>
    <mergeCell ref="I52:K53"/>
    <mergeCell ref="A123:D123"/>
    <mergeCell ref="A124:D124"/>
    <mergeCell ref="A125:D125"/>
    <mergeCell ref="A3:D3"/>
    <mergeCell ref="A4:D4"/>
    <mergeCell ref="A8:A9"/>
    <mergeCell ref="C8:C9"/>
    <mergeCell ref="A22:A23"/>
    <mergeCell ref="C22:C23"/>
    <mergeCell ref="D22:D23"/>
    <mergeCell ref="A29:A30"/>
    <mergeCell ref="C29:C30"/>
    <mergeCell ref="D29:D30"/>
    <mergeCell ref="A36:A37"/>
    <mergeCell ref="C36:C37"/>
    <mergeCell ref="D36:D37"/>
    <mergeCell ref="A43:A44"/>
    <mergeCell ref="C43:C44"/>
    <mergeCell ref="A52:A53"/>
    <mergeCell ref="C52:C53"/>
    <mergeCell ref="D43:D44"/>
    <mergeCell ref="D59:D60"/>
    <mergeCell ref="A59:A60"/>
    <mergeCell ref="C59:C60"/>
    <mergeCell ref="D96:D97"/>
    <mergeCell ref="A96:A97"/>
    <mergeCell ref="C96:C97"/>
    <mergeCell ref="A87:A88"/>
    <mergeCell ref="C87:C88"/>
    <mergeCell ref="D87:D88"/>
    <mergeCell ref="A15:A16"/>
    <mergeCell ref="C15:C16"/>
    <mergeCell ref="D15:D16"/>
    <mergeCell ref="A66:A67"/>
    <mergeCell ref="C66:C67"/>
    <mergeCell ref="A80:A81"/>
    <mergeCell ref="C80:C81"/>
    <mergeCell ref="D80:D81"/>
    <mergeCell ref="A73:A74"/>
    <mergeCell ref="C73:C74"/>
    <mergeCell ref="D73:D74"/>
    <mergeCell ref="D66:D67"/>
    <mergeCell ref="D52:D53"/>
    <mergeCell ref="B29:B30"/>
    <mergeCell ref="B36:B37"/>
    <mergeCell ref="B43:B44"/>
    <mergeCell ref="B52:B53"/>
    <mergeCell ref="B59:B60"/>
    <mergeCell ref="D117:D118"/>
    <mergeCell ref="A117:A118"/>
    <mergeCell ref="C117:C118"/>
    <mergeCell ref="A110:A111"/>
    <mergeCell ref="C110:C111"/>
    <mergeCell ref="D110:D111"/>
    <mergeCell ref="A103:A104"/>
    <mergeCell ref="C103:C104"/>
    <mergeCell ref="D103:D104"/>
    <mergeCell ref="I8:K9"/>
    <mergeCell ref="I10:K12"/>
    <mergeCell ref="I15:K16"/>
    <mergeCell ref="I17:K19"/>
    <mergeCell ref="I22:K23"/>
    <mergeCell ref="I24:K26"/>
    <mergeCell ref="I29:K30"/>
    <mergeCell ref="I31:K33"/>
    <mergeCell ref="D8:D9"/>
    <mergeCell ref="H22:H23"/>
    <mergeCell ref="G22:G23"/>
    <mergeCell ref="H17:H19"/>
    <mergeCell ref="H8:H9"/>
    <mergeCell ref="G8:G9"/>
    <mergeCell ref="H15:H16"/>
    <mergeCell ref="G15:G16"/>
    <mergeCell ref="H10:H12"/>
    <mergeCell ref="H24:H26"/>
    <mergeCell ref="G29:G30"/>
    <mergeCell ref="H29:H30"/>
    <mergeCell ref="H31:H33"/>
    <mergeCell ref="B66:B67"/>
    <mergeCell ref="B73:B74"/>
    <mergeCell ref="B80:B81"/>
    <mergeCell ref="B87:B88"/>
    <mergeCell ref="B96:B97"/>
    <mergeCell ref="B103:B104"/>
    <mergeCell ref="B110:B111"/>
    <mergeCell ref="B117:B118"/>
    <mergeCell ref="B8:B9"/>
    <mergeCell ref="B15:B16"/>
    <mergeCell ref="B22:B23"/>
  </mergeCells>
  <phoneticPr fontId="7" type="noConversion"/>
  <conditionalFormatting sqref="G10:G12">
    <cfRule type="cellIs" dxfId="127" priority="613" operator="lessThan">
      <formula>$G$6/100</formula>
    </cfRule>
    <cfRule type="cellIs" dxfId="126" priority="614" operator="greaterThanOrEqual">
      <formula>$G$6/100</formula>
    </cfRule>
  </conditionalFormatting>
  <conditionalFormatting sqref="J2:K2">
    <cfRule type="cellIs" dxfId="63" priority="425" operator="lessThan">
      <formula>0.0005</formula>
    </cfRule>
    <cfRule type="cellIs" dxfId="62" priority="426" operator="greaterThanOrEqual">
      <formula>0.0005</formula>
    </cfRule>
  </conditionalFormatting>
  <conditionalFormatting sqref="H10">
    <cfRule type="cellIs" dxfId="61" priority="61" operator="lessThan">
      <formula>$G$6/100</formula>
    </cfRule>
    <cfRule type="cellIs" dxfId="60" priority="62" operator="greaterThanOrEqual">
      <formula>$G$6/100</formula>
    </cfRule>
  </conditionalFormatting>
  <conditionalFormatting sqref="G17:G19">
    <cfRule type="cellIs" dxfId="59" priority="59" operator="lessThan">
      <formula>$G$6/100</formula>
    </cfRule>
    <cfRule type="cellIs" dxfId="58" priority="60" operator="greaterThanOrEqual">
      <formula>$G$6/100</formula>
    </cfRule>
  </conditionalFormatting>
  <conditionalFormatting sqref="H17">
    <cfRule type="cellIs" dxfId="57" priority="57" operator="lessThan">
      <formula>$G$6/100</formula>
    </cfRule>
    <cfRule type="cellIs" dxfId="56" priority="58" operator="greaterThanOrEqual">
      <formula>$G$6/100</formula>
    </cfRule>
  </conditionalFormatting>
  <conditionalFormatting sqref="G24:G26">
    <cfRule type="cellIs" dxfId="55" priority="55" operator="lessThan">
      <formula>$G$6/100</formula>
    </cfRule>
    <cfRule type="cellIs" dxfId="54" priority="56" operator="greaterThanOrEqual">
      <formula>$G$6/100</formula>
    </cfRule>
  </conditionalFormatting>
  <conditionalFormatting sqref="H24">
    <cfRule type="cellIs" dxfId="53" priority="53" operator="lessThan">
      <formula>$G$6/100</formula>
    </cfRule>
    <cfRule type="cellIs" dxfId="52" priority="54" operator="greaterThanOrEqual">
      <formula>$G$6/100</formula>
    </cfRule>
  </conditionalFormatting>
  <conditionalFormatting sqref="G31:G33">
    <cfRule type="cellIs" dxfId="51" priority="51" operator="lessThan">
      <formula>$G$6/100</formula>
    </cfRule>
    <cfRule type="cellIs" dxfId="50" priority="52" operator="greaterThanOrEqual">
      <formula>$G$6/100</formula>
    </cfRule>
  </conditionalFormatting>
  <conditionalFormatting sqref="H31">
    <cfRule type="cellIs" dxfId="49" priority="49" operator="lessThan">
      <formula>$G$6/100</formula>
    </cfRule>
    <cfRule type="cellIs" dxfId="48" priority="50" operator="greaterThanOrEqual">
      <formula>$G$6/100</formula>
    </cfRule>
  </conditionalFormatting>
  <conditionalFormatting sqref="G38:G40">
    <cfRule type="cellIs" dxfId="47" priority="47" operator="lessThan">
      <formula>$G$6/100</formula>
    </cfRule>
    <cfRule type="cellIs" dxfId="46" priority="48" operator="greaterThanOrEqual">
      <formula>$G$6/100</formula>
    </cfRule>
  </conditionalFormatting>
  <conditionalFormatting sqref="H38">
    <cfRule type="cellIs" dxfId="45" priority="45" operator="lessThan">
      <formula>$G$6/100</formula>
    </cfRule>
    <cfRule type="cellIs" dxfId="44" priority="46" operator="greaterThanOrEqual">
      <formula>$G$6/100</formula>
    </cfRule>
  </conditionalFormatting>
  <conditionalFormatting sqref="G45:G47">
    <cfRule type="cellIs" dxfId="43" priority="43" operator="lessThan">
      <formula>$G$6/100</formula>
    </cfRule>
    <cfRule type="cellIs" dxfId="42" priority="44" operator="greaterThanOrEqual">
      <formula>$G$6/100</formula>
    </cfRule>
  </conditionalFormatting>
  <conditionalFormatting sqref="H45">
    <cfRule type="cellIs" dxfId="41" priority="41" operator="lessThan">
      <formula>$G$6/100</formula>
    </cfRule>
    <cfRule type="cellIs" dxfId="40" priority="42" operator="greaterThanOrEqual">
      <formula>$G$6/100</formula>
    </cfRule>
  </conditionalFormatting>
  <conditionalFormatting sqref="G54:G56">
    <cfRule type="cellIs" dxfId="39" priority="39" operator="lessThan">
      <formula>$G$6/100</formula>
    </cfRule>
    <cfRule type="cellIs" dxfId="38" priority="40" operator="greaterThanOrEqual">
      <formula>$G$6/100</formula>
    </cfRule>
  </conditionalFormatting>
  <conditionalFormatting sqref="H54">
    <cfRule type="cellIs" dxfId="37" priority="37" operator="lessThan">
      <formula>$G$6/100</formula>
    </cfRule>
    <cfRule type="cellIs" dxfId="36" priority="38" operator="greaterThanOrEqual">
      <formula>$G$6/100</formula>
    </cfRule>
  </conditionalFormatting>
  <conditionalFormatting sqref="G61:G63">
    <cfRule type="cellIs" dxfId="35" priority="35" operator="lessThan">
      <formula>$G$6/100</formula>
    </cfRule>
    <cfRule type="cellIs" dxfId="34" priority="36" operator="greaterThanOrEqual">
      <formula>$G$6/100</formula>
    </cfRule>
  </conditionalFormatting>
  <conditionalFormatting sqref="H61">
    <cfRule type="cellIs" dxfId="33" priority="33" operator="lessThan">
      <formula>$G$6/100</formula>
    </cfRule>
    <cfRule type="cellIs" dxfId="32" priority="34" operator="greaterThanOrEqual">
      <formula>$G$6/100</formula>
    </cfRule>
  </conditionalFormatting>
  <conditionalFormatting sqref="G68:G70">
    <cfRule type="cellIs" dxfId="31" priority="31" operator="lessThan">
      <formula>$G$6/100</formula>
    </cfRule>
    <cfRule type="cellIs" dxfId="30" priority="32" operator="greaterThanOrEqual">
      <formula>$G$6/100</formula>
    </cfRule>
  </conditionalFormatting>
  <conditionalFormatting sqref="H68">
    <cfRule type="cellIs" dxfId="29" priority="29" operator="lessThan">
      <formula>$G$6/100</formula>
    </cfRule>
    <cfRule type="cellIs" dxfId="28" priority="30" operator="greaterThanOrEqual">
      <formula>$G$6/100</formula>
    </cfRule>
  </conditionalFormatting>
  <conditionalFormatting sqref="G75:G77">
    <cfRule type="cellIs" dxfId="27" priority="27" operator="lessThan">
      <formula>$G$6/100</formula>
    </cfRule>
    <cfRule type="cellIs" dxfId="26" priority="28" operator="greaterThanOrEqual">
      <formula>$G$6/100</formula>
    </cfRule>
  </conditionalFormatting>
  <conditionalFormatting sqref="H75">
    <cfRule type="cellIs" dxfId="25" priority="25" operator="lessThan">
      <formula>$G$6/100</formula>
    </cfRule>
    <cfRule type="cellIs" dxfId="24" priority="26" operator="greaterThanOrEqual">
      <formula>$G$6/100</formula>
    </cfRule>
  </conditionalFormatting>
  <conditionalFormatting sqref="G82:G84">
    <cfRule type="cellIs" dxfId="23" priority="23" operator="lessThan">
      <formula>$G$6/100</formula>
    </cfRule>
    <cfRule type="cellIs" dxfId="22" priority="24" operator="greaterThanOrEqual">
      <formula>$G$6/100</formula>
    </cfRule>
  </conditionalFormatting>
  <conditionalFormatting sqref="H82">
    <cfRule type="cellIs" dxfId="21" priority="21" operator="lessThan">
      <formula>$G$6/100</formula>
    </cfRule>
    <cfRule type="cellIs" dxfId="20" priority="22" operator="greaterThanOrEqual">
      <formula>$G$6/100</formula>
    </cfRule>
  </conditionalFormatting>
  <conditionalFormatting sqref="G89:G91">
    <cfRule type="cellIs" dxfId="19" priority="19" operator="lessThan">
      <formula>$G$6/100</formula>
    </cfRule>
    <cfRule type="cellIs" dxfId="18" priority="20" operator="greaterThanOrEqual">
      <formula>$G$6/100</formula>
    </cfRule>
  </conditionalFormatting>
  <conditionalFormatting sqref="H89">
    <cfRule type="cellIs" dxfId="17" priority="17" operator="lessThan">
      <formula>$G$6/100</formula>
    </cfRule>
    <cfRule type="cellIs" dxfId="16" priority="18" operator="greaterThanOrEqual">
      <formula>$G$6/100</formula>
    </cfRule>
  </conditionalFormatting>
  <conditionalFormatting sqref="G98:G100">
    <cfRule type="cellIs" dxfId="15" priority="15" operator="lessThan">
      <formula>$G$6/100</formula>
    </cfRule>
    <cfRule type="cellIs" dxfId="14" priority="16" operator="greaterThanOrEqual">
      <formula>$G$6/100</formula>
    </cfRule>
  </conditionalFormatting>
  <conditionalFormatting sqref="H98">
    <cfRule type="cellIs" dxfId="13" priority="13" operator="lessThan">
      <formula>$G$6/100</formula>
    </cfRule>
    <cfRule type="cellIs" dxfId="12" priority="14" operator="greaterThanOrEqual">
      <formula>$G$6/100</formula>
    </cfRule>
  </conditionalFormatting>
  <conditionalFormatting sqref="G105:G107">
    <cfRule type="cellIs" dxfId="11" priority="11" operator="lessThan">
      <formula>$G$6/100</formula>
    </cfRule>
    <cfRule type="cellIs" dxfId="10" priority="12" operator="greaterThanOrEqual">
      <formula>$G$6/100</formula>
    </cfRule>
  </conditionalFormatting>
  <conditionalFormatting sqref="H105">
    <cfRule type="cellIs" dxfId="9" priority="9" operator="lessThan">
      <formula>$G$6/100</formula>
    </cfRule>
    <cfRule type="cellIs" dxfId="8" priority="10" operator="greaterThanOrEqual">
      <formula>$G$6/100</formula>
    </cfRule>
  </conditionalFormatting>
  <conditionalFormatting sqref="G112:G114">
    <cfRule type="cellIs" dxfId="7" priority="7" operator="lessThan">
      <formula>$G$6/100</formula>
    </cfRule>
    <cfRule type="cellIs" dxfId="6" priority="8" operator="greaterThanOrEqual">
      <formula>$G$6/100</formula>
    </cfRule>
  </conditionalFormatting>
  <conditionalFormatting sqref="H112">
    <cfRule type="cellIs" dxfId="5" priority="5" operator="lessThan">
      <formula>$G$6/100</formula>
    </cfRule>
    <cfRule type="cellIs" dxfId="4" priority="6" operator="greaterThanOrEqual">
      <formula>$G$6/100</formula>
    </cfRule>
  </conditionalFormatting>
  <conditionalFormatting sqref="G119:G121">
    <cfRule type="cellIs" dxfId="3" priority="3" operator="lessThan">
      <formula>$G$6/100</formula>
    </cfRule>
    <cfRule type="cellIs" dxfId="2" priority="4" operator="greaterThanOrEqual">
      <formula>$G$6/100</formula>
    </cfRule>
  </conditionalFormatting>
  <conditionalFormatting sqref="H119">
    <cfRule type="cellIs" dxfId="1" priority="1" operator="lessThan">
      <formula>$G$6/100</formula>
    </cfRule>
    <cfRule type="cellIs" dxfId="0" priority="2" operator="greaterThanOrEqual">
      <formula>$G$6/100</formula>
    </cfRule>
  </conditionalFormatting>
  <pageMargins left="0.74803149606299213" right="0.74803149606299213" top="0.51181102362204722" bottom="0.74803149606299213" header="0.51181102362204722" footer="0.51181102362204722"/>
  <pageSetup paperSize="9" firstPageNumber="6" orientation="portrait" r:id="rId1"/>
  <headerFooter>
    <oddFooter>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22</vt:i4>
      </vt:variant>
    </vt:vector>
  </HeadingPairs>
  <TitlesOfParts>
    <vt:vector size="23" baseType="lpstr">
      <vt:lpstr>校准结果</vt:lpstr>
      <vt:lpstr>校准结果!Print_Titles</vt:lpstr>
      <vt:lpstr>单位</vt:lpstr>
      <vt:lpstr>量程最大值</vt:lpstr>
      <vt:lpstr>量程最小值</vt:lpstr>
      <vt:lpstr>通道1</vt:lpstr>
      <vt:lpstr>通道10</vt:lpstr>
      <vt:lpstr>通道11</vt:lpstr>
      <vt:lpstr>通道12</vt:lpstr>
      <vt:lpstr>通道13</vt:lpstr>
      <vt:lpstr>通道14</vt:lpstr>
      <vt:lpstr>通道15</vt:lpstr>
      <vt:lpstr>通道16</vt:lpstr>
      <vt:lpstr>通道2</vt:lpstr>
      <vt:lpstr>通道3</vt:lpstr>
      <vt:lpstr>通道4</vt:lpstr>
      <vt:lpstr>通道5</vt:lpstr>
      <vt:lpstr>通道6</vt:lpstr>
      <vt:lpstr>通道7</vt:lpstr>
      <vt:lpstr>通道8</vt:lpstr>
      <vt:lpstr>通道9</vt:lpstr>
      <vt:lpstr>校准日期</vt:lpstr>
      <vt:lpstr>准确度等级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WTN</dc:creator>
  <cp:lastModifiedBy>JY Z</cp:lastModifiedBy>
  <cp:lastPrinted>2024-04-23T07:00:54Z</cp:lastPrinted>
  <dcterms:created xsi:type="dcterms:W3CDTF">2022-12-06T12:02:00Z</dcterms:created>
  <dcterms:modified xsi:type="dcterms:W3CDTF">2024-04-25T05:25:58Z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